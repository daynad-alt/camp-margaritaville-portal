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- May 2026" sheetId="1" state="visible" r:id="rId3"/>
    <sheet name="June 2026 Actua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<sst xmlns="http://schemas.openxmlformats.org/spreadsheetml/2006/main" count="104" uniqueCount="98">
  <si>
    <t xml:space="preserve">Camp Margaritaville RV Resort  —  Statement of Operations</t>
  </si>
  <si>
    <t xml:space="preserve">Crystal Beach, TX (Bolivar Peninsula)  |  Period: Month Ended May 31, 2026  |  All figures USD ($)</t>
  </si>
  <si>
    <t xml:space="preserve">($)</t>
  </si>
  <si>
    <t xml:space="preserve">May Actual</t>
  </si>
  <si>
    <t xml:space="preserve">May Budget</t>
  </si>
  <si>
    <t xml:space="preserve">Var $</t>
  </si>
  <si>
    <t xml:space="preserve">Var %</t>
  </si>
  <si>
    <t xml:space="preserve">% Rev</t>
  </si>
  <si>
    <t xml:space="preserve">YTD Actual</t>
  </si>
  <si>
    <t xml:space="preserve">YTD Budget</t>
  </si>
  <si>
    <t xml:space="preserve">REVENUE</t>
  </si>
  <si>
    <t xml:space="preserve">   RV Site Rentals</t>
  </si>
  <si>
    <t xml:space="preserve">   Vacation Rentals</t>
  </si>
  <si>
    <t xml:space="preserve">   Day Passes</t>
  </si>
  <si>
    <t xml:space="preserve">   VIP Cabana Rentals</t>
  </si>
  <si>
    <t xml:space="preserve">   Golf Cart Rentals</t>
  </si>
  <si>
    <t xml:space="preserve">   Food &amp; Beverage</t>
  </si>
  <si>
    <t xml:space="preserve">   Concert Tickets (Paradise Park)</t>
  </si>
  <si>
    <t xml:space="preserve">   Retail / Merchandise</t>
  </si>
  <si>
    <t xml:space="preserve">   Other (Dog Park, Fitness, Misc.)</t>
  </si>
  <si>
    <t xml:space="preserve">Total Revenue</t>
  </si>
  <si>
    <t xml:space="preserve">COST OF SALES</t>
  </si>
  <si>
    <t xml:space="preserve">   Food &amp; Beverage COGS</t>
  </si>
  <si>
    <t xml:space="preserve">   Retail / Merchandise COGS</t>
  </si>
  <si>
    <t xml:space="preserve">   Concert Production (Talent, Staging, Security)</t>
  </si>
  <si>
    <t xml:space="preserve">   Golf Cart Maintenance &amp; Fuel</t>
  </si>
  <si>
    <t xml:space="preserve">Total Cost of Sales</t>
  </si>
  <si>
    <t xml:space="preserve">GROSS PROFIT</t>
  </si>
  <si>
    <t xml:space="preserve">   Gross Margin %</t>
  </si>
  <si>
    <t xml:space="preserve">OPERATING EXPENSES</t>
  </si>
  <si>
    <t xml:space="preserve">   Salaries &amp; Wages</t>
  </si>
  <si>
    <t xml:space="preserve">   Payroll Taxes &amp; Benefits</t>
  </si>
  <si>
    <t xml:space="preserve">   Marketing &amp; Advertising</t>
  </si>
  <si>
    <t xml:space="preserve">   Utilities (Water, Electric, Gas)</t>
  </si>
  <si>
    <t xml:space="preserve">   Repairs &amp; Maintenance</t>
  </si>
  <si>
    <t xml:space="preserve">   Landscaping &amp; Grounds (Contract)</t>
  </si>
  <si>
    <t xml:space="preserve">   Pool Service &amp; Chemicals (Contract)</t>
  </si>
  <si>
    <t xml:space="preserve">   Security (Contract)</t>
  </si>
  <si>
    <t xml:space="preserve">   Waste &amp; Sanitation (Contract)</t>
  </si>
  <si>
    <t xml:space="preserve">   Insurance (Property &amp; Liability)</t>
  </si>
  <si>
    <t xml:space="preserve">   Property Taxes (Allocated)</t>
  </si>
  <si>
    <t xml:space="preserve">   Credit Card &amp; Merchant Fees</t>
  </si>
  <si>
    <t xml:space="preserve">   Supplies &amp; Operating</t>
  </si>
  <si>
    <t xml:space="preserve">   Franchise / Brand Royalty</t>
  </si>
  <si>
    <t xml:space="preserve">   Telecom / IT / Software</t>
  </si>
  <si>
    <t xml:space="preserve">   G&amp;A / Administrative</t>
  </si>
  <si>
    <t xml:space="preserve">Total Operating Expenses</t>
  </si>
  <si>
    <t xml:space="preserve">EBITDA</t>
  </si>
  <si>
    <t xml:space="preserve">   EBITDA Margin %</t>
  </si>
  <si>
    <t xml:space="preserve">   Depreciation &amp; Amortization</t>
  </si>
  <si>
    <t xml:space="preserve">   Interest Expense</t>
  </si>
  <si>
    <t xml:space="preserve">NET INCOME (Pre-Tax)</t>
  </si>
  <si>
    <t xml:space="preserve">   Net Margin %</t>
  </si>
  <si>
    <t xml:space="preserve">KEY OPERATING METRICS</t>
  </si>
  <si>
    <t xml:space="preserve">   RV Site Occupancy %</t>
  </si>
  <si>
    <t xml:space="preserve">   RV Average Daily Rate (ADR)</t>
  </si>
  <si>
    <t xml:space="preserve">   Vacation Rental Occupancy %</t>
  </si>
  <si>
    <t xml:space="preserve">   VIP Cabana Utilization %</t>
  </si>
  <si>
    <t xml:space="preserve">   F&amp;B COGS % of F&amp;B Revenue</t>
  </si>
  <si>
    <t xml:space="preserve">   Labor % of Total Revenue</t>
  </si>
  <si>
    <t xml:space="preserve">   Marketing % of Total Revenue</t>
  </si>
  <si>
    <t xml:space="preserve">   Concert Avg Attendance (per show)</t>
  </si>
  <si>
    <t xml:space="preserve">Blue = hardcoded input  |  Black = formula.  Figures are illustrative sample data for demonstration.</t>
  </si>
  <si>
    <t xml:space="preserve">Camp Margaritaville RV Resort  —  June 2026 Actuals (P&amp;L)</t>
  </si>
  <si>
    <t xml:space="preserve">Crystal Beach, TX  |  30 Days  |  USD ($)  |  Source: uploaded June 2026 data block</t>
  </si>
  <si>
    <t xml:space="preserve">Amount</t>
  </si>
  <si>
    <t xml:space="preserve">% of Rev</t>
  </si>
  <si>
    <t xml:space="preserve">   RV Site Rentals (204 sites, 82% occ)</t>
  </si>
  <si>
    <t xml:space="preserve">   Vacation Cabin Rentals (85% occ)</t>
  </si>
  <si>
    <t xml:space="preserve">   VIP Cabana &amp; Daybed Rentals</t>
  </si>
  <si>
    <t xml:space="preserve">   Day Passes (Pool Access)</t>
  </si>
  <si>
    <t xml:space="preserve">   Fins Bar &amp; Grill (Food)</t>
  </si>
  <si>
    <t xml:space="preserve">   License to Chill Bar (Beverage)</t>
  </si>
  <si>
    <t xml:space="preserve">   Paradise Park Concert Tickets/VIP</t>
  </si>
  <si>
    <t xml:space="preserve">   Golf Cart Rentals &amp; Camp Store</t>
  </si>
  <si>
    <t xml:space="preserve">COST OF SALES (F&amp;B)</t>
  </si>
  <si>
    <t xml:space="preserve">   Food COGS (32.0% of food rev)</t>
  </si>
  <si>
    <t xml:space="preserve">   Beverage/Alcohol COGS (24.9% of bev rev)</t>
  </si>
  <si>
    <t xml:space="preserve">Total F&amp;B COGS</t>
  </si>
  <si>
    <t xml:space="preserve">PAYROLL &amp; LABOR</t>
  </si>
  <si>
    <t xml:space="preserve">   Management &amp; Admin (10)</t>
  </si>
  <si>
    <t xml:space="preserve">   Front Desk &amp; Camp Store (15, $4.5k OT)</t>
  </si>
  <si>
    <t xml:space="preserve">   Maintenance &amp; Grounds (15, $8.0k OT)</t>
  </si>
  <si>
    <t xml:space="preserve">   Housekeeping/Bathhouses (20, 12% turnover)</t>
  </si>
  <si>
    <t xml:space="preserve">   Fins BOH/Kitchen (15)</t>
  </si>
  <si>
    <t xml:space="preserve">   F&amp;B FOH/Swim-up Bar (20, $6.5k OT)</t>
  </si>
  <si>
    <t xml:space="preserve">   Security &amp; Event Staff (5)</t>
  </si>
  <si>
    <t xml:space="preserve">Total Payroll Expense</t>
  </si>
  <si>
    <t xml:space="preserve">   Utilities (204 RV hookups)</t>
  </si>
  <si>
    <t xml:space="preserve">   Pool Maintenance &amp; Chemicals</t>
  </si>
  <si>
    <t xml:space="preserve">   Landscaping &amp; Dog Park Upkeep</t>
  </si>
  <si>
    <t xml:space="preserve">   High-Speed Resort WiFi (ISP)</t>
  </si>
  <si>
    <t xml:space="preserve">   Marketing / Ad Spend</t>
  </si>
  <si>
    <t xml:space="preserve">   POS / Reservation Software</t>
  </si>
  <si>
    <t xml:space="preserve">   Property Insurance &amp; Taxes</t>
  </si>
  <si>
    <t xml:space="preserve">OPERATING INCOME (pre-D&amp;A/financing)</t>
  </si>
  <si>
    <t xml:space="preserve">   Operating Margin %</t>
  </si>
  <si>
    <t xml:space="preserve">Total OT across depts: $19,000 (5.5% of payroll). Blue = input; black = formula.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</si>
</sst>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;&quot;($&quot;#,##0\);\-"/>
    <numFmt numFmtId="169" formatCode="0.0%;\(0.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8B8B"/>
        <bgColor rgb="FF008080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404040"/>
      </top>
      <bottom style="double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8B8B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4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8" min="7" style="1" width="14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customFormat="false" ht="15" hidden="false" customHeight="true" outlineLevel="0" collapsed="false">
      <c r="A5" s="6" t="s">
        <v>10</v>
      </c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11</v>
      </c>
      <c r="B6" s="8" t="n">
        <v>420000</v>
      </c>
      <c r="C6" s="8" t="n">
        <v>435000</v>
      </c>
      <c r="D6" s="9" t="n">
        <f aca="false">B6-C6</f>
        <v>-15000</v>
      </c>
      <c r="E6" s="10" t="n">
        <f aca="false">IF(C6=0,"",(B6-C6)/C6)</f>
        <v>-0.0344827586206897</v>
      </c>
      <c r="F6" s="10" t="n">
        <f aca="false">IF($B$15=0,"",B6/$B$15)</f>
        <v>0.328895849647612</v>
      </c>
      <c r="G6" s="8" t="n">
        <v>1610000</v>
      </c>
      <c r="H6" s="8" t="n">
        <v>1680000</v>
      </c>
    </row>
    <row r="7" customFormat="false" ht="15" hidden="false" customHeight="true" outlineLevel="0" collapsed="false">
      <c r="A7" s="7" t="s">
        <v>12</v>
      </c>
      <c r="B7" s="8" t="n">
        <v>158000</v>
      </c>
      <c r="C7" s="8" t="n">
        <v>145000</v>
      </c>
      <c r="D7" s="9" t="n">
        <f aca="false">B7-C7</f>
        <v>13000</v>
      </c>
      <c r="E7" s="10" t="n">
        <f aca="false">IF(C7=0,"",(B7-C7)/C7)</f>
        <v>0.0896551724137931</v>
      </c>
      <c r="F7" s="10" t="n">
        <f aca="false">IF($B$15=0,"",B7/$B$15)</f>
        <v>0.123727486296006</v>
      </c>
      <c r="G7" s="8" t="n">
        <v>612000</v>
      </c>
      <c r="H7" s="8" t="n">
        <v>580000</v>
      </c>
    </row>
    <row r="8" customFormat="false" ht="15" hidden="false" customHeight="true" outlineLevel="0" collapsed="false">
      <c r="A8" s="7" t="s">
        <v>13</v>
      </c>
      <c r="B8" s="8" t="n">
        <v>112000</v>
      </c>
      <c r="C8" s="8" t="n">
        <v>98000</v>
      </c>
      <c r="D8" s="9" t="n">
        <f aca="false">B8-C8</f>
        <v>14000</v>
      </c>
      <c r="E8" s="10" t="n">
        <f aca="false">IF(C8=0,"",(B8-C8)/C8)</f>
        <v>0.142857142857143</v>
      </c>
      <c r="F8" s="10" t="n">
        <f aca="false">IF($B$15=0,"",B8/$B$15)</f>
        <v>0.0877055599060298</v>
      </c>
      <c r="G8" s="8" t="n">
        <v>358000</v>
      </c>
      <c r="H8" s="8" t="n">
        <v>330000</v>
      </c>
    </row>
    <row r="9" customFormat="false" ht="15" hidden="false" customHeight="true" outlineLevel="0" collapsed="false">
      <c r="A9" s="7" t="s">
        <v>14</v>
      </c>
      <c r="B9" s="8" t="n">
        <v>58000</v>
      </c>
      <c r="C9" s="8" t="n">
        <v>72000</v>
      </c>
      <c r="D9" s="9" t="n">
        <f aca="false">B9-C9</f>
        <v>-14000</v>
      </c>
      <c r="E9" s="10" t="n">
        <f aca="false">IF(C9=0,"",(B9-C9)/C9)</f>
        <v>-0.194444444444444</v>
      </c>
      <c r="F9" s="10" t="n">
        <f aca="false">IF($B$15=0,"",B9/$B$15)</f>
        <v>0.0454189506656226</v>
      </c>
      <c r="G9" s="8" t="n">
        <v>214000</v>
      </c>
      <c r="H9" s="8" t="n">
        <v>280000</v>
      </c>
    </row>
    <row r="10" customFormat="false" ht="15" hidden="false" customHeight="true" outlineLevel="0" collapsed="false">
      <c r="A10" s="7" t="s">
        <v>15</v>
      </c>
      <c r="B10" s="8" t="n">
        <v>79000</v>
      </c>
      <c r="C10" s="8" t="n">
        <v>75000</v>
      </c>
      <c r="D10" s="9" t="n">
        <f aca="false">B10-C10</f>
        <v>4000</v>
      </c>
      <c r="E10" s="10" t="n">
        <f aca="false">IF(C10=0,"",(B10-C10)/C10)</f>
        <v>0.0533333333333333</v>
      </c>
      <c r="F10" s="10" t="n">
        <f aca="false">IF($B$15=0,"",B10/$B$15)</f>
        <v>0.0618637431480031</v>
      </c>
      <c r="G10" s="8" t="n">
        <v>286000</v>
      </c>
      <c r="H10" s="8" t="n">
        <v>280000</v>
      </c>
    </row>
    <row r="11" customFormat="false" ht="15" hidden="false" customHeight="true" outlineLevel="0" collapsed="false">
      <c r="A11" s="7" t="s">
        <v>16</v>
      </c>
      <c r="B11" s="8" t="n">
        <v>305000</v>
      </c>
      <c r="C11" s="8" t="n">
        <v>290000</v>
      </c>
      <c r="D11" s="9" t="n">
        <f aca="false">B11-C11</f>
        <v>15000</v>
      </c>
      <c r="E11" s="10" t="n">
        <f aca="false">IF(C11=0,"",(B11-C11)/C11)</f>
        <v>0.0517241379310345</v>
      </c>
      <c r="F11" s="10" t="n">
        <f aca="false">IF($B$15=0,"",B11/$B$15)</f>
        <v>0.23884103367267</v>
      </c>
      <c r="G11" s="8" t="n">
        <v>1142000</v>
      </c>
      <c r="H11" s="8" t="n">
        <v>1120000</v>
      </c>
    </row>
    <row r="12" customFormat="false" ht="15" hidden="false" customHeight="true" outlineLevel="0" collapsed="false">
      <c r="A12" s="7" t="s">
        <v>17</v>
      </c>
      <c r="B12" s="8" t="n">
        <v>96000</v>
      </c>
      <c r="C12" s="8" t="n">
        <v>110000</v>
      </c>
      <c r="D12" s="9" t="n">
        <f aca="false">B12-C12</f>
        <v>-14000</v>
      </c>
      <c r="E12" s="10" t="n">
        <f aca="false">IF(C12=0,"",(B12-C12)/C12)</f>
        <v>-0.127272727272727</v>
      </c>
      <c r="F12" s="10" t="n">
        <f aca="false">IF($B$15=0,"",B12/$B$15)</f>
        <v>0.0751761942051684</v>
      </c>
      <c r="G12" s="8" t="n">
        <v>388000</v>
      </c>
      <c r="H12" s="8" t="n">
        <v>430000</v>
      </c>
    </row>
    <row r="13" customFormat="false" ht="15" hidden="false" customHeight="true" outlineLevel="0" collapsed="false">
      <c r="A13" s="7" t="s">
        <v>18</v>
      </c>
      <c r="B13" s="8" t="n">
        <v>31000</v>
      </c>
      <c r="C13" s="8" t="n">
        <v>28000</v>
      </c>
      <c r="D13" s="9" t="n">
        <f aca="false">B13-C13</f>
        <v>3000</v>
      </c>
      <c r="E13" s="10" t="n">
        <f aca="false">IF(C13=0,"",(B13-C13)/C13)</f>
        <v>0.107142857142857</v>
      </c>
      <c r="F13" s="10" t="n">
        <f aca="false">IF($B$15=0,"",B13/$B$15)</f>
        <v>0.024275646045419</v>
      </c>
      <c r="G13" s="8" t="n">
        <v>118000</v>
      </c>
      <c r="H13" s="8" t="n">
        <v>112000</v>
      </c>
    </row>
    <row r="14" customFormat="false" ht="15" hidden="false" customHeight="true" outlineLevel="0" collapsed="false">
      <c r="A14" s="7" t="s">
        <v>19</v>
      </c>
      <c r="B14" s="8" t="n">
        <v>18000</v>
      </c>
      <c r="C14" s="8" t="n">
        <v>17000</v>
      </c>
      <c r="D14" s="9" t="n">
        <f aca="false">B14-C14</f>
        <v>1000</v>
      </c>
      <c r="E14" s="10" t="n">
        <f aca="false">IF(C14=0,"",(B14-C14)/C14)</f>
        <v>0.0588235294117647</v>
      </c>
      <c r="F14" s="10" t="n">
        <f aca="false">IF($B$15=0,"",B14/$B$15)</f>
        <v>0.0140955364134691</v>
      </c>
      <c r="G14" s="8" t="n">
        <v>71000</v>
      </c>
      <c r="H14" s="8" t="n">
        <v>68000</v>
      </c>
    </row>
    <row r="15" customFormat="false" ht="15" hidden="false" customHeight="true" outlineLevel="0" collapsed="false">
      <c r="A15" s="11" t="s">
        <v>20</v>
      </c>
      <c r="B15" s="12" t="n">
        <f aca="false">SUM(B6:B14)</f>
        <v>1277000</v>
      </c>
      <c r="C15" s="12" t="n">
        <f aca="false">SUM(C6:C14)</f>
        <v>1270000</v>
      </c>
      <c r="D15" s="12" t="n">
        <f aca="false">B15-C15</f>
        <v>7000</v>
      </c>
      <c r="E15" s="13" t="n">
        <f aca="false">IF(C15=0,"",(B15-C15)/C15)</f>
        <v>0.00551181102362205</v>
      </c>
      <c r="F15" s="13" t="n">
        <f aca="false">IF($B$15=0,"",B15/$B$15)</f>
        <v>1</v>
      </c>
      <c r="G15" s="12" t="n">
        <f aca="false">SUM(G6:G14)</f>
        <v>4799000</v>
      </c>
      <c r="H15" s="12" t="n">
        <f aca="false">SUM(H6:H14)</f>
        <v>4880000</v>
      </c>
    </row>
    <row r="17" customFormat="false" ht="15" hidden="false" customHeight="true" outlineLevel="0" collapsed="false">
      <c r="A17" s="6" t="s">
        <v>21</v>
      </c>
      <c r="B17" s="6"/>
      <c r="C17" s="6"/>
      <c r="D17" s="6"/>
      <c r="E17" s="6"/>
      <c r="F17" s="6"/>
      <c r="G17" s="6"/>
      <c r="H17" s="6"/>
    </row>
    <row r="18" customFormat="false" ht="15" hidden="false" customHeight="true" outlineLevel="0" collapsed="false">
      <c r="A18" s="7" t="s">
        <v>22</v>
      </c>
      <c r="B18" s="8" t="n">
        <v>119000</v>
      </c>
      <c r="C18" s="8" t="n">
        <v>101500</v>
      </c>
      <c r="D18" s="9" t="n">
        <f aca="false">B18-C18</f>
        <v>17500</v>
      </c>
      <c r="E18" s="10" t="n">
        <f aca="false">IF(C18=0,"",(B18-C18)/C18)</f>
        <v>0.172413793103448</v>
      </c>
      <c r="F18" s="10" t="n">
        <f aca="false">IF($B$15=0,"",B18/$B$15)</f>
        <v>0.0931871574001566</v>
      </c>
      <c r="G18" s="8" t="n">
        <v>432000</v>
      </c>
      <c r="H18" s="8" t="n">
        <v>392000</v>
      </c>
    </row>
    <row r="19" customFormat="false" ht="15" hidden="false" customHeight="true" outlineLevel="0" collapsed="false">
      <c r="A19" s="7" t="s">
        <v>23</v>
      </c>
      <c r="B19" s="8" t="n">
        <v>17500</v>
      </c>
      <c r="C19" s="8" t="n">
        <v>15400</v>
      </c>
      <c r="D19" s="9" t="n">
        <f aca="false">B19-C19</f>
        <v>2100</v>
      </c>
      <c r="E19" s="10" t="n">
        <f aca="false">IF(C19=0,"",(B19-C19)/C19)</f>
        <v>0.136363636363636</v>
      </c>
      <c r="F19" s="10" t="n">
        <f aca="false">IF($B$15=0,"",B19/$B$15)</f>
        <v>0.0137039937353172</v>
      </c>
      <c r="G19" s="8" t="n">
        <v>64000</v>
      </c>
      <c r="H19" s="8" t="n">
        <v>61600</v>
      </c>
    </row>
    <row r="20" customFormat="false" ht="15" hidden="false" customHeight="true" outlineLevel="0" collapsed="false">
      <c r="A20" s="7" t="s">
        <v>24</v>
      </c>
      <c r="B20" s="8" t="n">
        <v>71000</v>
      </c>
      <c r="C20" s="8" t="n">
        <v>66000</v>
      </c>
      <c r="D20" s="9" t="n">
        <f aca="false">B20-C20</f>
        <v>5000</v>
      </c>
      <c r="E20" s="10" t="n">
        <f aca="false">IF(C20=0,"",(B20-C20)/C20)</f>
        <v>0.0757575757575758</v>
      </c>
      <c r="F20" s="10" t="n">
        <f aca="false">IF($B$15=0,"",B20/$B$15)</f>
        <v>0.0555990602975724</v>
      </c>
      <c r="G20" s="8" t="n">
        <v>281000</v>
      </c>
      <c r="H20" s="8" t="n">
        <v>258000</v>
      </c>
    </row>
    <row r="21" customFormat="false" ht="15" hidden="false" customHeight="true" outlineLevel="0" collapsed="false">
      <c r="A21" s="7" t="s">
        <v>25</v>
      </c>
      <c r="B21" s="8" t="n">
        <v>9500</v>
      </c>
      <c r="C21" s="8" t="n">
        <v>9000</v>
      </c>
      <c r="D21" s="9" t="n">
        <f aca="false">B21-C21</f>
        <v>500</v>
      </c>
      <c r="E21" s="10" t="n">
        <f aca="false">IF(C21=0,"",(B21-C21)/C21)</f>
        <v>0.0555555555555556</v>
      </c>
      <c r="F21" s="10" t="n">
        <f aca="false">IF($B$15=0,"",B21/$B$15)</f>
        <v>0.00743931088488645</v>
      </c>
      <c r="G21" s="8" t="n">
        <v>35000</v>
      </c>
      <c r="H21" s="8" t="n">
        <v>34000</v>
      </c>
    </row>
    <row r="22" customFormat="false" ht="15" hidden="false" customHeight="true" outlineLevel="0" collapsed="false">
      <c r="A22" s="11" t="s">
        <v>26</v>
      </c>
      <c r="B22" s="12" t="n">
        <f aca="false">SUM(B18:B21)</f>
        <v>217000</v>
      </c>
      <c r="C22" s="12" t="n">
        <f aca="false">SUM(C18:C21)</f>
        <v>191900</v>
      </c>
      <c r="D22" s="12" t="n">
        <f aca="false">B22-C22</f>
        <v>25100</v>
      </c>
      <c r="E22" s="13" t="n">
        <f aca="false">IF(C22=0,"",(B22-C22)/C22)</f>
        <v>0.130797290255341</v>
      </c>
      <c r="F22" s="13" t="n">
        <f aca="false">IF($B$15=0,"",B22/$B$15)</f>
        <v>0.169929522317933</v>
      </c>
      <c r="G22" s="12" t="n">
        <f aca="false">SUM(G18:G21)</f>
        <v>812000</v>
      </c>
      <c r="H22" s="12" t="n">
        <f aca="false">SUM(H18:H21)</f>
        <v>745600</v>
      </c>
    </row>
    <row r="23" customFormat="false" ht="15" hidden="false" customHeight="true" outlineLevel="0" collapsed="false">
      <c r="A23" s="14" t="s">
        <v>27</v>
      </c>
      <c r="B23" s="15" t="n">
        <f aca="false">B15-B22</f>
        <v>1060000</v>
      </c>
      <c r="C23" s="15" t="n">
        <f aca="false">C15-C22</f>
        <v>1078100</v>
      </c>
      <c r="D23" s="15" t="n">
        <f aca="false">B23-C23</f>
        <v>-18100</v>
      </c>
      <c r="E23" s="16" t="n">
        <f aca="false">IF(C23=0,"",(B23-C23)/C23)</f>
        <v>-0.0167887951024951</v>
      </c>
      <c r="F23" s="16" t="n">
        <f aca="false">IF($B$15=0,"",B23/$B$15)</f>
        <v>0.830070477682067</v>
      </c>
      <c r="G23" s="15" t="n">
        <f aca="false">G15-G22</f>
        <v>3987000</v>
      </c>
      <c r="H23" s="15" t="n">
        <f aca="false">H15-H22</f>
        <v>4134400</v>
      </c>
    </row>
    <row r="24" customFormat="false" ht="15" hidden="false" customHeight="true" outlineLevel="0" collapsed="false">
      <c r="A24" s="17" t="s">
        <v>28</v>
      </c>
      <c r="B24" s="18" t="n">
        <f aca="false">B23/B15</f>
        <v>0.830070477682067</v>
      </c>
      <c r="C24" s="18" t="n">
        <f aca="false">C23/C15</f>
        <v>0.848897637795276</v>
      </c>
      <c r="G24" s="18" t="n">
        <f aca="false">G23/G15</f>
        <v>0.830798082933945</v>
      </c>
      <c r="H24" s="18" t="n">
        <f aca="false">H23/H15</f>
        <v>0.847213114754098</v>
      </c>
    </row>
    <row r="26" customFormat="false" ht="15" hidden="false" customHeight="true" outlineLevel="0" collapsed="false">
      <c r="A26" s="6" t="s">
        <v>29</v>
      </c>
      <c r="B26" s="6"/>
      <c r="C26" s="6"/>
      <c r="D26" s="6"/>
      <c r="E26" s="6"/>
      <c r="F26" s="6"/>
      <c r="G26" s="6"/>
      <c r="H26" s="6"/>
    </row>
    <row r="27" customFormat="false" ht="15" hidden="false" customHeight="true" outlineLevel="0" collapsed="false">
      <c r="A27" s="7" t="s">
        <v>30</v>
      </c>
      <c r="B27" s="8" t="n">
        <v>358000</v>
      </c>
      <c r="C27" s="8" t="n">
        <v>320000</v>
      </c>
      <c r="D27" s="9" t="n">
        <f aca="false">B27-C27</f>
        <v>38000</v>
      </c>
      <c r="E27" s="10" t="n">
        <f aca="false">IF(C27=0,"",(B27-C27)/C27)</f>
        <v>0.11875</v>
      </c>
      <c r="F27" s="10" t="n">
        <f aca="false">IF($B$15=0,"",B27/$B$15)</f>
        <v>0.280344557556774</v>
      </c>
      <c r="G27" s="8" t="n">
        <v>1648000</v>
      </c>
      <c r="H27" s="8" t="n">
        <v>1500000</v>
      </c>
    </row>
    <row r="28" customFormat="false" ht="15" hidden="false" customHeight="true" outlineLevel="0" collapsed="false">
      <c r="A28" s="7" t="s">
        <v>31</v>
      </c>
      <c r="B28" s="8" t="n">
        <v>86000</v>
      </c>
      <c r="C28" s="8" t="n">
        <v>77000</v>
      </c>
      <c r="D28" s="9" t="n">
        <f aca="false">B28-C28</f>
        <v>9000</v>
      </c>
      <c r="E28" s="10" t="n">
        <f aca="false">IF(C28=0,"",(B28-C28)/C28)</f>
        <v>0.116883116883117</v>
      </c>
      <c r="F28" s="10" t="n">
        <f aca="false">IF($B$15=0,"",B28/$B$15)</f>
        <v>0.06734534064213</v>
      </c>
      <c r="G28" s="8" t="n">
        <v>392000</v>
      </c>
      <c r="H28" s="8" t="n">
        <v>360000</v>
      </c>
    </row>
    <row r="29" customFormat="false" ht="15" hidden="false" customHeight="true" outlineLevel="0" collapsed="false">
      <c r="A29" s="7" t="s">
        <v>32</v>
      </c>
      <c r="B29" s="8" t="n">
        <v>64000</v>
      </c>
      <c r="C29" s="8" t="n">
        <v>55000</v>
      </c>
      <c r="D29" s="9" t="n">
        <f aca="false">B29-C29</f>
        <v>9000</v>
      </c>
      <c r="E29" s="10" t="n">
        <f aca="false">IF(C29=0,"",(B29-C29)/C29)</f>
        <v>0.163636363636364</v>
      </c>
      <c r="F29" s="10" t="n">
        <f aca="false">IF($B$15=0,"",B29/$B$15)</f>
        <v>0.0501174628034456</v>
      </c>
      <c r="G29" s="8" t="n">
        <v>268000</v>
      </c>
      <c r="H29" s="8" t="n">
        <v>240000</v>
      </c>
    </row>
    <row r="30" customFormat="false" ht="15" hidden="false" customHeight="true" outlineLevel="0" collapsed="false">
      <c r="A30" s="7" t="s">
        <v>33</v>
      </c>
      <c r="B30" s="8" t="n">
        <v>78000</v>
      </c>
      <c r="C30" s="8" t="n">
        <v>70000</v>
      </c>
      <c r="D30" s="9" t="n">
        <f aca="false">B30-C30</f>
        <v>8000</v>
      </c>
      <c r="E30" s="10" t="n">
        <f aca="false">IF(C30=0,"",(B30-C30)/C30)</f>
        <v>0.114285714285714</v>
      </c>
      <c r="F30" s="10" t="n">
        <f aca="false">IF($B$15=0,"",B30/$B$15)</f>
        <v>0.0610806577916993</v>
      </c>
      <c r="G30" s="8" t="n">
        <v>322000</v>
      </c>
      <c r="H30" s="8" t="n">
        <v>300000</v>
      </c>
    </row>
    <row r="31" customFormat="false" ht="15" hidden="false" customHeight="true" outlineLevel="0" collapsed="false">
      <c r="A31" s="7" t="s">
        <v>34</v>
      </c>
      <c r="B31" s="8" t="n">
        <v>41000</v>
      </c>
      <c r="C31" s="8" t="n">
        <v>38000</v>
      </c>
      <c r="D31" s="9" t="n">
        <f aca="false">B31-C31</f>
        <v>3000</v>
      </c>
      <c r="E31" s="10" t="n">
        <f aca="false">IF(C31=0,"",(B31-C31)/C31)</f>
        <v>0.0789473684210526</v>
      </c>
      <c r="F31" s="10" t="n">
        <f aca="false">IF($B$15=0,"",B31/$B$15)</f>
        <v>0.0321064996084573</v>
      </c>
      <c r="G31" s="8" t="n">
        <v>178000</v>
      </c>
      <c r="H31" s="8" t="n">
        <v>170000</v>
      </c>
    </row>
    <row r="32" customFormat="false" ht="15" hidden="false" customHeight="true" outlineLevel="0" collapsed="false">
      <c r="A32" s="7" t="s">
        <v>35</v>
      </c>
      <c r="B32" s="8" t="n">
        <v>22000</v>
      </c>
      <c r="C32" s="8" t="n">
        <v>21000</v>
      </c>
      <c r="D32" s="9" t="n">
        <f aca="false">B32-C32</f>
        <v>1000</v>
      </c>
      <c r="E32" s="10" t="n">
        <f aca="false">IF(C32=0,"",(B32-C32)/C32)</f>
        <v>0.0476190476190476</v>
      </c>
      <c r="F32" s="10" t="n">
        <f aca="false">IF($B$15=0,"",B32/$B$15)</f>
        <v>0.0172278778386844</v>
      </c>
      <c r="G32" s="8" t="n">
        <v>104000</v>
      </c>
      <c r="H32" s="8" t="n">
        <v>100000</v>
      </c>
    </row>
    <row r="33" customFormat="false" ht="15" hidden="false" customHeight="true" outlineLevel="0" collapsed="false">
      <c r="A33" s="7" t="s">
        <v>36</v>
      </c>
      <c r="B33" s="8" t="n">
        <v>19500</v>
      </c>
      <c r="C33" s="8" t="n">
        <v>14000</v>
      </c>
      <c r="D33" s="9" t="n">
        <f aca="false">B33-C33</f>
        <v>5500</v>
      </c>
      <c r="E33" s="10" t="n">
        <f aca="false">IF(C33=0,"",(B33-C33)/C33)</f>
        <v>0.392857142857143</v>
      </c>
      <c r="F33" s="10" t="n">
        <f aca="false">IF($B$15=0,"",B33/$B$15)</f>
        <v>0.0152701644479248</v>
      </c>
      <c r="G33" s="8" t="n">
        <v>71000</v>
      </c>
      <c r="H33" s="8" t="n">
        <v>66000</v>
      </c>
    </row>
    <row r="34" customFormat="false" ht="15" hidden="false" customHeight="true" outlineLevel="0" collapsed="false">
      <c r="A34" s="7" t="s">
        <v>37</v>
      </c>
      <c r="B34" s="8" t="n">
        <v>26000</v>
      </c>
      <c r="C34" s="8" t="n">
        <v>24000</v>
      </c>
      <c r="D34" s="9" t="n">
        <f aca="false">B34-C34</f>
        <v>2000</v>
      </c>
      <c r="E34" s="10" t="n">
        <f aca="false">IF(C34=0,"",(B34-C34)/C34)</f>
        <v>0.0833333333333333</v>
      </c>
      <c r="F34" s="10" t="n">
        <f aca="false">IF($B$15=0,"",B34/$B$15)</f>
        <v>0.0203602192638998</v>
      </c>
      <c r="G34" s="8" t="n">
        <v>122000</v>
      </c>
      <c r="H34" s="8" t="n">
        <v>116000</v>
      </c>
    </row>
    <row r="35" customFormat="false" ht="15" hidden="false" customHeight="true" outlineLevel="0" collapsed="false">
      <c r="A35" s="7" t="s">
        <v>38</v>
      </c>
      <c r="B35" s="8" t="n">
        <v>13000</v>
      </c>
      <c r="C35" s="8" t="n">
        <v>12500</v>
      </c>
      <c r="D35" s="9" t="n">
        <f aca="false">B35-C35</f>
        <v>500</v>
      </c>
      <c r="E35" s="10" t="n">
        <f aca="false">IF(C35=0,"",(B35-C35)/C35)</f>
        <v>0.04</v>
      </c>
      <c r="F35" s="10" t="n">
        <f aca="false">IF($B$15=0,"",B35/$B$15)</f>
        <v>0.0101801096319499</v>
      </c>
      <c r="G35" s="8" t="n">
        <v>62000</v>
      </c>
      <c r="H35" s="8" t="n">
        <v>60000</v>
      </c>
    </row>
    <row r="36" customFormat="false" ht="15" hidden="false" customHeight="true" outlineLevel="0" collapsed="false">
      <c r="A36" s="7" t="s">
        <v>39</v>
      </c>
      <c r="B36" s="8" t="n">
        <v>47000</v>
      </c>
      <c r="C36" s="8" t="n">
        <v>47000</v>
      </c>
      <c r="D36" s="9" t="n">
        <f aca="false">B36-C36</f>
        <v>0</v>
      </c>
      <c r="E36" s="10" t="n">
        <f aca="false">IF(C36=0,"",(B36-C36)/C36)</f>
        <v>0</v>
      </c>
      <c r="F36" s="10" t="n">
        <f aca="false">IF($B$15=0,"",B36/$B$15)</f>
        <v>0.0368050117462803</v>
      </c>
      <c r="G36" s="8" t="n">
        <v>235000</v>
      </c>
      <c r="H36" s="8" t="n">
        <v>235000</v>
      </c>
    </row>
    <row r="37" customFormat="false" ht="15" hidden="false" customHeight="true" outlineLevel="0" collapsed="false">
      <c r="A37" s="7" t="s">
        <v>40</v>
      </c>
      <c r="B37" s="8" t="n">
        <v>38000</v>
      </c>
      <c r="C37" s="8" t="n">
        <v>38000</v>
      </c>
      <c r="D37" s="9" t="n">
        <f aca="false">B37-C37</f>
        <v>0</v>
      </c>
      <c r="E37" s="10" t="n">
        <f aca="false">IF(C37=0,"",(B37-C37)/C37)</f>
        <v>0</v>
      </c>
      <c r="F37" s="10" t="n">
        <f aca="false">IF($B$15=0,"",B37/$B$15)</f>
        <v>0.0297572435395458</v>
      </c>
      <c r="G37" s="8" t="n">
        <v>190000</v>
      </c>
      <c r="H37" s="8" t="n">
        <v>190000</v>
      </c>
    </row>
    <row r="38" customFormat="false" ht="15" hidden="false" customHeight="true" outlineLevel="0" collapsed="false">
      <c r="A38" s="7" t="s">
        <v>41</v>
      </c>
      <c r="B38" s="8" t="n">
        <v>33000</v>
      </c>
      <c r="C38" s="8" t="n">
        <v>31000</v>
      </c>
      <c r="D38" s="9" t="n">
        <f aca="false">B38-C38</f>
        <v>2000</v>
      </c>
      <c r="E38" s="10" t="n">
        <f aca="false">IF(C38=0,"",(B38-C38)/C38)</f>
        <v>0.0645161290322581</v>
      </c>
      <c r="F38" s="10" t="n">
        <f aca="false">IF($B$15=0,"",B38/$B$15)</f>
        <v>0.0258418167580266</v>
      </c>
      <c r="G38" s="8" t="n">
        <v>124000</v>
      </c>
      <c r="H38" s="8" t="n">
        <v>120000</v>
      </c>
    </row>
    <row r="39" customFormat="false" ht="15" hidden="false" customHeight="true" outlineLevel="0" collapsed="false">
      <c r="A39" s="7" t="s">
        <v>42</v>
      </c>
      <c r="B39" s="8" t="n">
        <v>24000</v>
      </c>
      <c r="C39" s="8" t="n">
        <v>22000</v>
      </c>
      <c r="D39" s="9" t="n">
        <f aca="false">B39-C39</f>
        <v>2000</v>
      </c>
      <c r="E39" s="10" t="n">
        <f aca="false">IF(C39=0,"",(B39-C39)/C39)</f>
        <v>0.0909090909090909</v>
      </c>
      <c r="F39" s="10" t="n">
        <f aca="false">IF($B$15=0,"",B39/$B$15)</f>
        <v>0.0187940485512921</v>
      </c>
      <c r="G39" s="8" t="n">
        <v>108000</v>
      </c>
      <c r="H39" s="8" t="n">
        <v>102000</v>
      </c>
    </row>
    <row r="40" customFormat="false" ht="15" hidden="false" customHeight="true" outlineLevel="0" collapsed="false">
      <c r="A40" s="7" t="s">
        <v>43</v>
      </c>
      <c r="B40" s="8" t="n">
        <v>64000</v>
      </c>
      <c r="C40" s="8" t="n">
        <v>63500</v>
      </c>
      <c r="D40" s="9" t="n">
        <f aca="false">B40-C40</f>
        <v>500</v>
      </c>
      <c r="E40" s="10" t="n">
        <f aca="false">IF(C40=0,"",(B40-C40)/C40)</f>
        <v>0.0078740157480315</v>
      </c>
      <c r="F40" s="10" t="n">
        <f aca="false">IF($B$15=0,"",B40/$B$15)</f>
        <v>0.0501174628034456</v>
      </c>
      <c r="G40" s="8" t="n">
        <v>240000</v>
      </c>
      <c r="H40" s="8" t="n">
        <v>238000</v>
      </c>
    </row>
    <row r="41" customFormat="false" ht="15" hidden="false" customHeight="true" outlineLevel="0" collapsed="false">
      <c r="A41" s="7" t="s">
        <v>44</v>
      </c>
      <c r="B41" s="8" t="n">
        <v>12500</v>
      </c>
      <c r="C41" s="8" t="n">
        <v>12000</v>
      </c>
      <c r="D41" s="9" t="n">
        <f aca="false">B41-C41</f>
        <v>500</v>
      </c>
      <c r="E41" s="10" t="n">
        <f aca="false">IF(C41=0,"",(B41-C41)/C41)</f>
        <v>0.0416666666666667</v>
      </c>
      <c r="F41" s="10" t="n">
        <f aca="false">IF($B$15=0,"",B41/$B$15)</f>
        <v>0.00978856695379797</v>
      </c>
      <c r="G41" s="8" t="n">
        <v>61000</v>
      </c>
      <c r="H41" s="8" t="n">
        <v>60000</v>
      </c>
    </row>
    <row r="42" customFormat="false" ht="15" hidden="false" customHeight="true" outlineLevel="0" collapsed="false">
      <c r="A42" s="7" t="s">
        <v>45</v>
      </c>
      <c r="B42" s="8" t="n">
        <v>29000</v>
      </c>
      <c r="C42" s="8" t="n">
        <v>28000</v>
      </c>
      <c r="D42" s="9" t="n">
        <f aca="false">B42-C42</f>
        <v>1000</v>
      </c>
      <c r="E42" s="10" t="n">
        <f aca="false">IF(C42=0,"",(B42-C42)/C42)</f>
        <v>0.0357142857142857</v>
      </c>
      <c r="F42" s="10" t="n">
        <f aca="false">IF($B$15=0,"",B42/$B$15)</f>
        <v>0.0227094753328113</v>
      </c>
      <c r="G42" s="8" t="n">
        <v>138000</v>
      </c>
      <c r="H42" s="8" t="n">
        <v>135000</v>
      </c>
    </row>
    <row r="43" customFormat="false" ht="15" hidden="false" customHeight="true" outlineLevel="0" collapsed="false">
      <c r="A43" s="11" t="s">
        <v>46</v>
      </c>
      <c r="B43" s="12" t="n">
        <f aca="false">SUM(B27:B42)</f>
        <v>955000</v>
      </c>
      <c r="C43" s="12" t="n">
        <f aca="false">SUM(C27:C42)</f>
        <v>873000</v>
      </c>
      <c r="D43" s="12" t="n">
        <f aca="false">B43-C43</f>
        <v>82000</v>
      </c>
      <c r="E43" s="13" t="n">
        <f aca="false">IF(C43=0,"",(B43-C43)/C43)</f>
        <v>0.0939289805269187</v>
      </c>
      <c r="F43" s="13" t="n">
        <f aca="false">IF($B$15=0,"",B43/$B$15)</f>
        <v>0.747846515270164</v>
      </c>
      <c r="G43" s="12" t="n">
        <f aca="false">SUM(G27:G42)</f>
        <v>4263000</v>
      </c>
      <c r="H43" s="12" t="n">
        <f aca="false">SUM(H27:H42)</f>
        <v>3992000</v>
      </c>
    </row>
    <row r="44" customFormat="false" ht="15" hidden="false" customHeight="true" outlineLevel="0" collapsed="false">
      <c r="A44" s="14" t="s">
        <v>47</v>
      </c>
      <c r="B44" s="15" t="n">
        <f aca="false">B23-B43</f>
        <v>105000</v>
      </c>
      <c r="C44" s="15" t="n">
        <f aca="false">C23-C43</f>
        <v>205100</v>
      </c>
      <c r="D44" s="15" t="n">
        <f aca="false">B44-C44</f>
        <v>-100100</v>
      </c>
      <c r="E44" s="16" t="n">
        <f aca="false">IF(C44=0,"",(B44-C44)/C44)</f>
        <v>-0.488054607508532</v>
      </c>
      <c r="F44" s="16" t="n">
        <f aca="false">IF($B$15=0,"",B44/$B$15)</f>
        <v>0.0822239624119029</v>
      </c>
      <c r="G44" s="15" t="n">
        <f aca="false">G23-G43</f>
        <v>-276000</v>
      </c>
      <c r="H44" s="15" t="n">
        <f aca="false">H23-H43</f>
        <v>142400</v>
      </c>
    </row>
    <row r="45" customFormat="false" ht="15" hidden="false" customHeight="true" outlineLevel="0" collapsed="false">
      <c r="A45" s="17" t="s">
        <v>48</v>
      </c>
      <c r="B45" s="18" t="n">
        <f aca="false">B44/B15</f>
        <v>0.0822239624119029</v>
      </c>
      <c r="C45" s="18" t="n">
        <f aca="false">C44/C15</f>
        <v>0.161496062992126</v>
      </c>
      <c r="G45" s="18" t="n">
        <f aca="false">G44/G15</f>
        <v>-0.0575119816628464</v>
      </c>
      <c r="H45" s="18" t="n">
        <f aca="false">H44/H15</f>
        <v>0.0291803278688525</v>
      </c>
    </row>
    <row r="47" customFormat="false" ht="15" hidden="false" customHeight="true" outlineLevel="0" collapsed="false">
      <c r="A47" s="7" t="s">
        <v>49</v>
      </c>
      <c r="B47" s="8" t="n">
        <v>92000</v>
      </c>
      <c r="C47" s="8" t="n">
        <v>92000</v>
      </c>
      <c r="D47" s="9" t="n">
        <f aca="false">B47-C47</f>
        <v>0</v>
      </c>
      <c r="E47" s="10" t="n">
        <f aca="false">IF(C47=0,"",(B47-C47)/C47)</f>
        <v>0</v>
      </c>
      <c r="F47" s="10" t="n">
        <f aca="false">IF($B$15=0,"",B47/$B$15)</f>
        <v>0.072043852779953</v>
      </c>
      <c r="G47" s="8" t="n">
        <v>460000</v>
      </c>
      <c r="H47" s="8" t="n">
        <v>460000</v>
      </c>
    </row>
    <row r="48" customFormat="false" ht="15" hidden="false" customHeight="true" outlineLevel="0" collapsed="false">
      <c r="A48" s="7" t="s">
        <v>50</v>
      </c>
      <c r="B48" s="8" t="n">
        <v>58000</v>
      </c>
      <c r="C48" s="8" t="n">
        <v>58000</v>
      </c>
      <c r="D48" s="9" t="n">
        <f aca="false">B48-C48</f>
        <v>0</v>
      </c>
      <c r="E48" s="10" t="n">
        <f aca="false">IF(C48=0,"",(B48-C48)/C48)</f>
        <v>0</v>
      </c>
      <c r="F48" s="10" t="n">
        <f aca="false">IF($B$15=0,"",B48/$B$15)</f>
        <v>0.0454189506656226</v>
      </c>
      <c r="G48" s="8" t="n">
        <v>290000</v>
      </c>
      <c r="H48" s="8" t="n">
        <v>290000</v>
      </c>
    </row>
    <row r="49" customFormat="false" ht="15" hidden="false" customHeight="true" outlineLevel="0" collapsed="false">
      <c r="A49" s="19" t="s">
        <v>51</v>
      </c>
      <c r="B49" s="20" t="n">
        <f aca="false">B44-B47-B48</f>
        <v>-45000</v>
      </c>
      <c r="C49" s="20" t="n">
        <f aca="false">C44-C47-C48</f>
        <v>55100</v>
      </c>
      <c r="D49" s="20" t="n">
        <f aca="false">B49-C49</f>
        <v>-100100</v>
      </c>
      <c r="E49" s="21" t="n">
        <f aca="false">IF(C49=0,"",(B49-C49)/C49)</f>
        <v>-1.81669691470054</v>
      </c>
      <c r="F49" s="21" t="n">
        <f aca="false">IF($B$15=0,"",B49/$B$15)</f>
        <v>-0.0352388410336727</v>
      </c>
      <c r="G49" s="20" t="n">
        <f aca="false">G44-G47-G48</f>
        <v>-1026000</v>
      </c>
      <c r="H49" s="20" t="n">
        <f aca="false">H44-H47-H48</f>
        <v>-607600</v>
      </c>
    </row>
    <row r="50" customFormat="false" ht="15" hidden="false" customHeight="true" outlineLevel="0" collapsed="false">
      <c r="A50" s="17" t="s">
        <v>52</v>
      </c>
      <c r="B50" s="18" t="n">
        <f aca="false">B49/B15</f>
        <v>-0.0352388410336727</v>
      </c>
      <c r="C50" s="18" t="n">
        <f aca="false">C49/C15</f>
        <v>0.0433858267716535</v>
      </c>
      <c r="G50" s="18" t="n">
        <f aca="false">G49/G15</f>
        <v>-0.213794540529277</v>
      </c>
      <c r="H50" s="18" t="n">
        <f aca="false">H49/H15</f>
        <v>-0.124508196721311</v>
      </c>
    </row>
    <row r="52" customFormat="false" ht="15" hidden="false" customHeight="true" outlineLevel="0" collapsed="false">
      <c r="A52" s="6" t="s">
        <v>53</v>
      </c>
      <c r="B52" s="6"/>
      <c r="C52" s="6"/>
      <c r="D52" s="6"/>
      <c r="E52" s="6"/>
      <c r="F52" s="6"/>
      <c r="G52" s="6"/>
      <c r="H52" s="6"/>
    </row>
    <row r="53" customFormat="false" ht="15" hidden="false" customHeight="true" outlineLevel="0" collapsed="false">
      <c r="A53" s="7" t="s">
        <v>54</v>
      </c>
      <c r="B53" s="22" t="n">
        <v>0.76</v>
      </c>
      <c r="C53" s="22" t="n">
        <v>0.8</v>
      </c>
    </row>
    <row r="54" customFormat="false" ht="15" hidden="false" customHeight="true" outlineLevel="0" collapsed="false">
      <c r="A54" s="7" t="s">
        <v>55</v>
      </c>
      <c r="B54" s="8" t="n">
        <v>89</v>
      </c>
      <c r="C54" s="8" t="n">
        <v>88</v>
      </c>
    </row>
    <row r="55" customFormat="false" ht="15" hidden="false" customHeight="true" outlineLevel="0" collapsed="false">
      <c r="A55" s="7" t="s">
        <v>56</v>
      </c>
      <c r="B55" s="22" t="n">
        <v>0.71</v>
      </c>
      <c r="C55" s="22" t="n">
        <v>0.68</v>
      </c>
    </row>
    <row r="56" customFormat="false" ht="15" hidden="false" customHeight="true" outlineLevel="0" collapsed="false">
      <c r="A56" s="7" t="s">
        <v>57</v>
      </c>
      <c r="B56" s="22" t="n">
        <v>0.48</v>
      </c>
      <c r="C56" s="22" t="n">
        <v>0.62</v>
      </c>
    </row>
    <row r="57" customFormat="false" ht="15" hidden="false" customHeight="true" outlineLevel="0" collapsed="false">
      <c r="A57" s="7" t="s">
        <v>58</v>
      </c>
      <c r="B57" s="10" t="n">
        <f aca="false">B18/B11</f>
        <v>0.39016393442623</v>
      </c>
      <c r="C57" s="10" t="n">
        <f aca="false">C18/C11</f>
        <v>0.35</v>
      </c>
    </row>
    <row r="58" customFormat="false" ht="15" hidden="false" customHeight="true" outlineLevel="0" collapsed="false">
      <c r="A58" s="7" t="s">
        <v>59</v>
      </c>
      <c r="B58" s="10" t="n">
        <f aca="false">(B27+B28)/B15</f>
        <v>0.347689898198904</v>
      </c>
      <c r="C58" s="10" t="n">
        <f aca="false">(C27+C28)/C15</f>
        <v>0.31259842519685</v>
      </c>
    </row>
    <row r="59" customFormat="false" ht="15" hidden="false" customHeight="true" outlineLevel="0" collapsed="false">
      <c r="A59" s="7" t="s">
        <v>60</v>
      </c>
      <c r="B59" s="10" t="n">
        <f aca="false">B29/B15</f>
        <v>0.0501174628034456</v>
      </c>
      <c r="C59" s="10" t="n">
        <f aca="false">C29/C15</f>
        <v>0.0433070866141732</v>
      </c>
    </row>
    <row r="60" customFormat="false" ht="15" hidden="false" customHeight="true" outlineLevel="0" collapsed="false">
      <c r="A60" s="7" t="s">
        <v>61</v>
      </c>
      <c r="B60" s="23" t="n">
        <v>1420</v>
      </c>
      <c r="C60" s="23" t="n">
        <v>1650</v>
      </c>
    </row>
    <row r="62" customFormat="false" ht="15" hidden="false" customHeight="true" outlineLevel="0" collapsed="false">
      <c r="A62" s="24" t="s">
        <v>62</v>
      </c>
      <c r="B62" s="24"/>
      <c r="C62" s="24"/>
      <c r="D62" s="24"/>
      <c r="E62" s="24"/>
      <c r="F62" s="24"/>
      <c r="G62" s="24"/>
      <c r="H62" s="24"/>
    </row>
  </sheetData>
  <mergeCells count="7">
    <mergeCell ref="A1:H1"/>
    <mergeCell ref="A2:H2"/>
    <mergeCell ref="A5:H5"/>
    <mergeCell ref="A17:H17"/>
    <mergeCell ref="A26:H26"/>
    <mergeCell ref="A52:H52"/>
    <mergeCell ref="A62:H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3" min="3" style="0" width="10"/>
  </cols>
  <sheetData>
    <row r="1" customFormat="false" ht="21.75" hidden="false" customHeight="true" outlineLevel="0" collapsed="false">
      <c r="A1" s="25" t="s">
        <v>63</v>
      </c>
      <c r="B1" s="25"/>
      <c r="C1" s="25"/>
    </row>
    <row r="2" customFormat="false" ht="15" hidden="false" customHeight="false" outlineLevel="0" collapsed="false">
      <c r="A2" s="26" t="s">
        <v>64</v>
      </c>
      <c r="B2" s="26"/>
      <c r="C2" s="26"/>
    </row>
    <row r="4" customFormat="false" ht="15" hidden="false" customHeight="false" outlineLevel="0" collapsed="false">
      <c r="A4" s="27" t="s">
        <v>2</v>
      </c>
      <c r="B4" s="5" t="s">
        <v>65</v>
      </c>
      <c r="C4" s="5" t="s">
        <v>66</v>
      </c>
    </row>
    <row r="5" customFormat="false" ht="15" hidden="false" customHeight="false" outlineLevel="0" collapsed="false">
      <c r="A5" s="28" t="s">
        <v>10</v>
      </c>
      <c r="B5" s="28"/>
      <c r="C5" s="28"/>
    </row>
    <row r="6" customFormat="false" ht="15" hidden="false" customHeight="false" outlineLevel="0" collapsed="false">
      <c r="A6" s="29" t="s">
        <v>67</v>
      </c>
      <c r="B6" s="30" t="n">
        <v>450000</v>
      </c>
      <c r="C6" s="31" t="str">
        <f aca="false">IF($B$999=0,"",B6/$B$999)</f>
        <v/>
      </c>
    </row>
    <row r="7" customFormat="false" ht="15" hidden="false" customHeight="false" outlineLevel="0" collapsed="false">
      <c r="A7" s="29" t="s">
        <v>68</v>
      </c>
      <c r="B7" s="30" t="n">
        <v>180000</v>
      </c>
      <c r="C7" s="31" t="str">
        <f aca="false">IF($B$999=0,"",B7/$B$999)</f>
        <v/>
      </c>
    </row>
    <row r="8" customFormat="false" ht="15" hidden="false" customHeight="false" outlineLevel="0" collapsed="false">
      <c r="A8" s="29" t="s">
        <v>69</v>
      </c>
      <c r="B8" s="30" t="n">
        <v>65000</v>
      </c>
      <c r="C8" s="31" t="str">
        <f aca="false">IF($B$999=0,"",B8/$B$999)</f>
        <v/>
      </c>
    </row>
    <row r="9" customFormat="false" ht="15" hidden="false" customHeight="false" outlineLevel="0" collapsed="false">
      <c r="A9" s="29" t="s">
        <v>70</v>
      </c>
      <c r="B9" s="30" t="n">
        <v>45000</v>
      </c>
      <c r="C9" s="31" t="str">
        <f aca="false">IF($B$999=0,"",B9/$B$999)</f>
        <v/>
      </c>
    </row>
    <row r="10" customFormat="false" ht="15" hidden="false" customHeight="false" outlineLevel="0" collapsed="false">
      <c r="A10" s="29" t="s">
        <v>71</v>
      </c>
      <c r="B10" s="30" t="n">
        <v>145000</v>
      </c>
      <c r="C10" s="31" t="str">
        <f aca="false">IF($B$999=0,"",B10/$B$999)</f>
        <v/>
      </c>
    </row>
    <row r="11" customFormat="false" ht="15" hidden="false" customHeight="false" outlineLevel="0" collapsed="false">
      <c r="A11" s="29" t="s">
        <v>72</v>
      </c>
      <c r="B11" s="30" t="n">
        <v>190000</v>
      </c>
      <c r="C11" s="31" t="str">
        <f aca="false">IF($B$999=0,"",B11/$B$999)</f>
        <v/>
      </c>
    </row>
    <row r="12" customFormat="false" ht="15" hidden="false" customHeight="false" outlineLevel="0" collapsed="false">
      <c r="A12" s="29" t="s">
        <v>73</v>
      </c>
      <c r="B12" s="30" t="n">
        <v>75000</v>
      </c>
      <c r="C12" s="31" t="str">
        <f aca="false">IF($B$999=0,"",B12/$B$999)</f>
        <v/>
      </c>
    </row>
    <row r="13" customFormat="false" ht="15" hidden="false" customHeight="false" outlineLevel="0" collapsed="false">
      <c r="A13" s="29" t="s">
        <v>74</v>
      </c>
      <c r="B13" s="30" t="n">
        <v>35000</v>
      </c>
      <c r="C13" s="31" t="str">
        <f aca="false">IF($B$999=0,"",B13/$B$999)</f>
        <v/>
      </c>
    </row>
    <row r="14" customFormat="false" ht="15" hidden="false" customHeight="false" outlineLevel="0" collapsed="false">
      <c r="A14" s="32" t="s">
        <v>20</v>
      </c>
      <c r="B14" s="33" t="n">
        <f aca="false">SUM(B6:B13)</f>
        <v>1185000</v>
      </c>
      <c r="C14" s="34" t="n">
        <f aca="false">IF($B$14=0,"",B14/$B$14)</f>
        <v>1</v>
      </c>
    </row>
    <row r="16" customFormat="false" ht="15" hidden="false" customHeight="false" outlineLevel="0" collapsed="false">
      <c r="A16" s="28" t="s">
        <v>75</v>
      </c>
      <c r="B16" s="28"/>
      <c r="C16" s="28"/>
    </row>
    <row r="17" customFormat="false" ht="15" hidden="false" customHeight="false" outlineLevel="0" collapsed="false">
      <c r="A17" s="29" t="s">
        <v>76</v>
      </c>
      <c r="B17" s="30" t="n">
        <v>46400</v>
      </c>
      <c r="C17" s="31" t="n">
        <f aca="false">IF($B$14=0,"",B17/$B$14)</f>
        <v>0.0391561181434599</v>
      </c>
    </row>
    <row r="18" customFormat="false" ht="15" hidden="false" customHeight="false" outlineLevel="0" collapsed="false">
      <c r="A18" s="29" t="s">
        <v>77</v>
      </c>
      <c r="B18" s="30" t="n">
        <v>47400</v>
      </c>
      <c r="C18" s="31" t="n">
        <f aca="false">IF($B$14=0,"",B18/$B$14)</f>
        <v>0.04</v>
      </c>
    </row>
    <row r="19" customFormat="false" ht="15" hidden="false" customHeight="false" outlineLevel="0" collapsed="false">
      <c r="A19" s="32" t="s">
        <v>78</v>
      </c>
      <c r="B19" s="33" t="n">
        <f aca="false">SUM(B17:B18)</f>
        <v>93800</v>
      </c>
      <c r="C19" s="34" t="n">
        <f aca="false">IF($B$14=0,"",B19/$B$14)</f>
        <v>0.0791561181434599</v>
      </c>
    </row>
    <row r="20" customFormat="false" ht="15" hidden="false" customHeight="false" outlineLevel="0" collapsed="false">
      <c r="A20" s="35" t="s">
        <v>27</v>
      </c>
      <c r="B20" s="36" t="n">
        <f aca="false">B14-B19</f>
        <v>1091200</v>
      </c>
      <c r="C20" s="37" t="n">
        <f aca="false">IF($B$14=0,"",B20/$B$14)</f>
        <v>0.92084388185654</v>
      </c>
    </row>
    <row r="22" customFormat="false" ht="15" hidden="false" customHeight="false" outlineLevel="0" collapsed="false">
      <c r="A22" s="28" t="s">
        <v>79</v>
      </c>
      <c r="B22" s="28"/>
      <c r="C22" s="28"/>
    </row>
    <row r="23" customFormat="false" ht="15" hidden="false" customHeight="false" outlineLevel="0" collapsed="false">
      <c r="A23" s="29" t="s">
        <v>80</v>
      </c>
      <c r="B23" s="30" t="n">
        <v>75000</v>
      </c>
      <c r="C23" s="31" t="n">
        <f aca="false">IF($B$14=0,"",B23/$B$14)</f>
        <v>0.0632911392405063</v>
      </c>
    </row>
    <row r="24" customFormat="false" ht="15" hidden="false" customHeight="false" outlineLevel="0" collapsed="false">
      <c r="A24" s="29" t="s">
        <v>81</v>
      </c>
      <c r="B24" s="30" t="n">
        <v>42000</v>
      </c>
      <c r="C24" s="31" t="n">
        <f aca="false">IF($B$14=0,"",B24/$B$14)</f>
        <v>0.0354430379746835</v>
      </c>
    </row>
    <row r="25" customFormat="false" ht="15" hidden="false" customHeight="false" outlineLevel="0" collapsed="false">
      <c r="A25" s="29" t="s">
        <v>82</v>
      </c>
      <c r="B25" s="30" t="n">
        <v>52000</v>
      </c>
      <c r="C25" s="31" t="n">
        <f aca="false">IF($B$14=0,"",B25/$B$14)</f>
        <v>0.0438818565400844</v>
      </c>
    </row>
    <row r="26" customFormat="false" ht="15" hidden="false" customHeight="false" outlineLevel="0" collapsed="false">
      <c r="A26" s="29" t="s">
        <v>83</v>
      </c>
      <c r="B26" s="30" t="n">
        <v>55000</v>
      </c>
      <c r="C26" s="31" t="n">
        <f aca="false">IF($B$14=0,"",B26/$B$14)</f>
        <v>0.0464135021097046</v>
      </c>
    </row>
    <row r="27" customFormat="false" ht="15" hidden="false" customHeight="false" outlineLevel="0" collapsed="false">
      <c r="A27" s="29" t="s">
        <v>84</v>
      </c>
      <c r="B27" s="30" t="n">
        <v>48000</v>
      </c>
      <c r="C27" s="31" t="n">
        <f aca="false">IF($B$14=0,"",B27/$B$14)</f>
        <v>0.0405063291139241</v>
      </c>
    </row>
    <row r="28" customFormat="false" ht="15" hidden="false" customHeight="false" outlineLevel="0" collapsed="false">
      <c r="A28" s="29" t="s">
        <v>85</v>
      </c>
      <c r="B28" s="30" t="n">
        <v>50000</v>
      </c>
      <c r="C28" s="31" t="n">
        <f aca="false">IF($B$14=0,"",B28/$B$14)</f>
        <v>0.0421940928270042</v>
      </c>
    </row>
    <row r="29" customFormat="false" ht="15" hidden="false" customHeight="false" outlineLevel="0" collapsed="false">
      <c r="A29" s="29" t="s">
        <v>86</v>
      </c>
      <c r="B29" s="30" t="n">
        <v>20500</v>
      </c>
      <c r="C29" s="31" t="n">
        <f aca="false">IF($B$14=0,"",B29/$B$14)</f>
        <v>0.0172995780590717</v>
      </c>
    </row>
    <row r="30" customFormat="false" ht="15" hidden="false" customHeight="false" outlineLevel="0" collapsed="false">
      <c r="A30" s="32" t="s">
        <v>87</v>
      </c>
      <c r="B30" s="33" t="n">
        <f aca="false">SUM(B23:B29)</f>
        <v>342500</v>
      </c>
      <c r="C30" s="34" t="n">
        <f aca="false">IF($B$14=0,"",B30/$B$14)</f>
        <v>0.289029535864979</v>
      </c>
    </row>
    <row r="32" customFormat="false" ht="15" hidden="false" customHeight="false" outlineLevel="0" collapsed="false">
      <c r="A32" s="28" t="s">
        <v>29</v>
      </c>
      <c r="B32" s="28"/>
      <c r="C32" s="28"/>
    </row>
    <row r="33" customFormat="false" ht="15" hidden="false" customHeight="false" outlineLevel="0" collapsed="false">
      <c r="A33" s="29" t="s">
        <v>88</v>
      </c>
      <c r="B33" s="30" t="n">
        <v>78000</v>
      </c>
      <c r="C33" s="31" t="n">
        <f aca="false">IF($B$14=0,"",B33/$B$14)</f>
        <v>0.0658227848101266</v>
      </c>
    </row>
    <row r="34" customFormat="false" ht="15" hidden="false" customHeight="false" outlineLevel="0" collapsed="false">
      <c r="A34" s="29" t="s">
        <v>89</v>
      </c>
      <c r="B34" s="30" t="n">
        <v>14500</v>
      </c>
      <c r="C34" s="31" t="n">
        <f aca="false">IF($B$14=0,"",B34/$B$14)</f>
        <v>0.0122362869198312</v>
      </c>
    </row>
    <row r="35" customFormat="false" ht="15" hidden="false" customHeight="false" outlineLevel="0" collapsed="false">
      <c r="A35" s="29" t="s">
        <v>90</v>
      </c>
      <c r="B35" s="30" t="n">
        <v>18000</v>
      </c>
      <c r="C35" s="31" t="n">
        <f aca="false">IF($B$14=0,"",B35/$B$14)</f>
        <v>0.0151898734177215</v>
      </c>
    </row>
    <row r="36" customFormat="false" ht="15" hidden="false" customHeight="false" outlineLevel="0" collapsed="false">
      <c r="A36" s="29" t="s">
        <v>91</v>
      </c>
      <c r="B36" s="30" t="n">
        <v>8500</v>
      </c>
      <c r="C36" s="31" t="n">
        <f aca="false">IF($B$14=0,"",B36/$B$14)</f>
        <v>0.00717299578059072</v>
      </c>
    </row>
    <row r="37" customFormat="false" ht="15" hidden="false" customHeight="false" outlineLevel="0" collapsed="false">
      <c r="A37" s="29" t="s">
        <v>92</v>
      </c>
      <c r="B37" s="30" t="n">
        <v>35000</v>
      </c>
      <c r="C37" s="31" t="n">
        <f aca="false">IF($B$14=0,"",B37/$B$14)</f>
        <v>0.029535864978903</v>
      </c>
    </row>
    <row r="38" customFormat="false" ht="15" hidden="false" customHeight="false" outlineLevel="0" collapsed="false">
      <c r="A38" s="29" t="s">
        <v>93</v>
      </c>
      <c r="B38" s="30" t="n">
        <v>12000</v>
      </c>
      <c r="C38" s="31" t="n">
        <f aca="false">IF($B$14=0,"",B38/$B$14)</f>
        <v>0.010126582278481</v>
      </c>
    </row>
    <row r="39" customFormat="false" ht="15" hidden="false" customHeight="false" outlineLevel="0" collapsed="false">
      <c r="A39" s="29" t="s">
        <v>94</v>
      </c>
      <c r="B39" s="30" t="n">
        <v>49000</v>
      </c>
      <c r="C39" s="31" t="n">
        <f aca="false">IF($B$14=0,"",B39/$B$14)</f>
        <v>0.0413502109704641</v>
      </c>
    </row>
    <row r="40" customFormat="false" ht="15" hidden="false" customHeight="false" outlineLevel="0" collapsed="false">
      <c r="A40" s="32" t="s">
        <v>46</v>
      </c>
      <c r="B40" s="33" t="n">
        <f aca="false">SUM(B33:B39)</f>
        <v>215000</v>
      </c>
      <c r="C40" s="34" t="n">
        <f aca="false">IF($B$14=0,"",B40/$B$14)</f>
        <v>0.181434599156118</v>
      </c>
    </row>
    <row r="41" customFormat="false" ht="15" hidden="false" customHeight="false" outlineLevel="0" collapsed="false">
      <c r="A41" s="35" t="s">
        <v>95</v>
      </c>
      <c r="B41" s="36" t="n">
        <f aca="false">B20-B30-B40</f>
        <v>533700</v>
      </c>
      <c r="C41" s="37" t="n">
        <f aca="false">IF($B$14=0,"",B41/$B$14)</f>
        <v>0.450379746835443</v>
      </c>
    </row>
    <row r="42" customFormat="false" ht="15" hidden="false" customHeight="false" outlineLevel="0" collapsed="false">
      <c r="A42" s="38" t="s">
        <v>96</v>
      </c>
      <c r="B42" s="39" t="n">
        <f aca="false">B41/B14</f>
        <v>0.450379746835443</v>
      </c>
    </row>
    <row r="44" customFormat="false" ht="15" hidden="false" customHeight="false" outlineLevel="0" collapsed="false">
      <c r="A44" s="40" t="s">
        <v>97</v>
      </c>
    </row>
  </sheetData>
  <mergeCells count="6">
    <mergeCell ref="A1:C1"/>
    <mergeCell ref="A2:C2"/>
    <mergeCell ref="A5:C5"/>
    <mergeCell ref="A16:C16"/>
    <mergeCell ref="A22:C22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2026-06-27T13:00:37Z</dcterms:created>
  <dc:creator>openpyxl</dc:creator>
  <dc:description/>
  <dc:language>en-US</dc:language>
  <cp:lastModifiedBy/>
  <dcterms:modified xsi:type="dcterms:W3CDTF">2026-06-27T13:05:12Z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