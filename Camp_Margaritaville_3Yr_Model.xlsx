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venue Model" sheetId="2" state="visible" r:id="rId4"/>
    <sheet name="P&amp;L (3-Year)" sheetId="3" state="visible" r:id="rId5"/>
    <sheet name="Concert Series" sheetId="4" state="visible" r:id="rId6"/>
    <sheet name="Expansion &amp; Cape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<sst xmlns="http://schemas.openxmlformats.org/spreadsheetml/2006/main" count="113" uniqueCount="101">
  <si>
    <t xml:space="preserve">Investor Summary — Path to a $10M+ Profitable Operation</t>
  </si>
  <si>
    <t xml:space="preserve">Camp Margaritaville RV Resort, Crystal Beach TX  |  $000s</t>
  </si>
  <si>
    <t xml:space="preserve">Metric</t>
  </si>
  <si>
    <t xml:space="preserve">2026 (Base)</t>
  </si>
  <si>
    <t xml:space="preserve">2027 (Y1)</t>
  </si>
  <si>
    <t xml:space="preserve">2028 (Y2)</t>
  </si>
  <si>
    <t xml:space="preserve">2029 (Y3)</t>
  </si>
  <si>
    <t xml:space="preserve">Total Revenue</t>
  </si>
  <si>
    <t xml:space="preserve">EBITDA</t>
  </si>
  <si>
    <t xml:space="preserve">EBITDA Margin %</t>
  </si>
  <si>
    <t xml:space="preserve">Net Income (Pre-Tax)</t>
  </si>
  <si>
    <t xml:space="preserve">Milestones</t>
  </si>
  <si>
    <t xml:space="preserve">•  Revenue crosses $10M in Year 1 (2027) and reaches ~$18.9M by Year 3 (2029) — a ~27% CAGR.</t>
  </si>
  <si>
    <t xml:space="preserve">•  EBITDA scales from ~$3.4M (2026) to ~$7.3M (2029); net pre-tax income roughly $1.6M to $3.7M.</t>
  </si>
  <si>
    <t xml:space="preserve">•  Growth engines: 24 beach-house bungalows, +50 premium RV sites, a new event center, and a scaled Paradise Park concert series (8→16 shows).</t>
  </si>
  <si>
    <t xml:space="preserve">•  ~$9.9M project capex funded by ~$7M senior debt + equity; new builds add ~$4.3M annual revenue by Year 3.</t>
  </si>
  <si>
    <t xml:space="preserve">•  The License to Chill swim-up bar remains the margin engine; concert + event days multiply per-cap F&amp;B spend.</t>
  </si>
  <si>
    <t xml:space="preserve">Camp Margaritaville RV Resort — 3-Year Revenue Model</t>
  </si>
  <si>
    <t xml:space="preserve">Crystal Beach, TX  |  All figures in $000s  |  Prepared by the CFO Agent</t>
  </si>
  <si>
    <t xml:space="preserve">Revenue Stream</t>
  </si>
  <si>
    <t xml:space="preserve">CAGR</t>
  </si>
  <si>
    <t xml:space="preserve">LODGING</t>
  </si>
  <si>
    <t xml:space="preserve">   RV Sites (existing 204)</t>
  </si>
  <si>
    <t xml:space="preserve">   RV Premium Expansion (+50 sites)</t>
  </si>
  <si>
    <t xml:space="preserve">   Vacation Cabins (existing)</t>
  </si>
  <si>
    <t xml:space="preserve">   Beach House Bungalows (24 units)</t>
  </si>
  <si>
    <t xml:space="preserve">AMENITIES &amp; ANCILLARY</t>
  </si>
  <si>
    <t xml:space="preserve">   VIP Cabanas &amp; Daybeds</t>
  </si>
  <si>
    <t xml:space="preserve">   Day Passes (Pool)</t>
  </si>
  <si>
    <t xml:space="preserve">   Golf Carts &amp; Camp Store</t>
  </si>
  <si>
    <t xml:space="preserve">FOOD &amp; BEVERAGE</t>
  </si>
  <si>
    <t xml:space="preserve">   Fins Bar &amp; Grill (Food)</t>
  </si>
  <si>
    <t xml:space="preserve">   License to Chill Bar (Beverage)</t>
  </si>
  <si>
    <t xml:space="preserve">EVENTS</t>
  </si>
  <si>
    <t xml:space="preserve">   Paradise Park Concert Series</t>
  </si>
  <si>
    <t xml:space="preserve">   Event Center (Weddings / Corporate)</t>
  </si>
  <si>
    <t xml:space="preserve">TOTAL REVENUE</t>
  </si>
  <si>
    <t xml:space="preserve">   YoY Growth</t>
  </si>
  <si>
    <t xml:space="preserve">Blue = input assumption · Black = formula. F&amp;B rows feed the P&amp;L. Concert series per Event Specialist agent.</t>
  </si>
  <si>
    <t xml:space="preserve">3-Year P&amp;L / EBITDA Bridge</t>
  </si>
  <si>
    <t xml:space="preserve">All figures in $000s  |  Costs are CFO-model inputs (see footnotes); subtotals &amp; margins are formulas</t>
  </si>
  <si>
    <t xml:space="preserve">   Total Revenue</t>
  </si>
  <si>
    <t xml:space="preserve">      of which Food &amp; Beverage</t>
  </si>
  <si>
    <t xml:space="preserve">   Food &amp; Beverage COGS (28% of F&amp;B)</t>
  </si>
  <si>
    <t xml:space="preserve">   Concert &amp; Event Direct (talent+production)</t>
  </si>
  <si>
    <t xml:space="preserve">   GROSS PROFIT</t>
  </si>
  <si>
    <t xml:space="preserve">   Gross Margin %</t>
  </si>
  <si>
    <t xml:space="preserve">   Payroll &amp; Benefits</t>
  </si>
  <si>
    <t xml:space="preserve">   Operating Expenses (util, mktg, ins, R&amp;M, G&amp;A, royalty)</t>
  </si>
  <si>
    <t xml:space="preserve">   EBITDA</t>
  </si>
  <si>
    <t xml:space="preserve">   EBITDA Margin %</t>
  </si>
  <si>
    <t xml:space="preserve">   Depreciation &amp; Amortization</t>
  </si>
  <si>
    <t xml:space="preserve">   Interest Expense (expansion debt)</t>
  </si>
  <si>
    <t xml:space="preserve">   NET INCOME (Pre-Tax)</t>
  </si>
  <si>
    <t xml:space="preserve">   Net Margin %</t>
  </si>
  <si>
    <t xml:space="preserve">Payroll ≈27-30% of revenue; Opex ≈20.5-22%; F&amp;B COGS 28% of F&amp;B rev; concert direct per Event Specialist (~$87K ticket-side/show).</t>
  </si>
  <si>
    <t xml:space="preserve">Paradise Park Concert Series — Talent &amp; Economics</t>
  </si>
  <si>
    <t xml:space="preserve">Per Event Specialist Agent  |  Fees are PLANNING ESTIMATES pending agency quotes  |  4,000 tickets/show, ~$45 blended</t>
  </si>
  <si>
    <t xml:space="preserve">Act (est. fee mid)</t>
  </si>
  <si>
    <t xml:space="preserve">Est. Fee</t>
  </si>
  <si>
    <t xml:space="preserve">Ticket Contrib.</t>
  </si>
  <si>
    <t xml:space="preserve">+ Ancillary</t>
  </si>
  <si>
    <t xml:space="preserve">Total Contrib.</t>
  </si>
  <si>
    <t xml:space="preserve">Jimmy Buffett Tribute (A1A / Son of a Sailor)</t>
  </si>
  <si>
    <t xml:space="preserve">Bellamy Brothers</t>
  </si>
  <si>
    <t xml:space="preserve">Roger Creager</t>
  </si>
  <si>
    <t xml:space="preserve">Kevin Fowler</t>
  </si>
  <si>
    <t xml:space="preserve">Wade Bowen</t>
  </si>
  <si>
    <t xml:space="preserve">Josh Abbott Band</t>
  </si>
  <si>
    <t xml:space="preserve">Aaron Watson</t>
  </si>
  <si>
    <t xml:space="preserve">Yacht Rock Revue</t>
  </si>
  <si>
    <t xml:space="preserve">Casey Donahew Band</t>
  </si>
  <si>
    <t xml:space="preserve">Pat Green</t>
  </si>
  <si>
    <t xml:space="preserve">Note: all $ in $000s per show. Ticket contrib = $180 rev − fee − $50 variable (production+ticketing+mktg). Ancillary = 4,000 × $22 × 70%.</t>
  </si>
  <si>
    <t xml:space="preserve">Series Plan</t>
  </si>
  <si>
    <t xml:space="preserve">3-Yr</t>
  </si>
  <si>
    <t xml:space="preserve">Marquee Shows</t>
  </si>
  <si>
    <t xml:space="preserve">Ticket Revenue ($000s)</t>
  </si>
  <si>
    <t xml:space="preserve">Ancillary Revenue (gross, $000s)</t>
  </si>
  <si>
    <t xml:space="preserve">Total Contribution ($000s)</t>
  </si>
  <si>
    <t xml:space="preserve">Blended ~$155K contribution/show (barbell of value/tribute acts + marquee names).</t>
  </si>
  <si>
    <t xml:space="preserve">Expansion Projects &amp; Capital Plan</t>
  </si>
  <si>
    <t xml:space="preserve">All figures in $000s</t>
  </si>
  <si>
    <t xml:space="preserve">Project</t>
  </si>
  <si>
    <t xml:space="preserve">Units</t>
  </si>
  <si>
    <t xml:space="preserve">Capex/Unit</t>
  </si>
  <si>
    <t xml:space="preserve">Total Capex</t>
  </si>
  <si>
    <t xml:space="preserve">Online</t>
  </si>
  <si>
    <t xml:space="preserve">Yr3 Revenue</t>
  </si>
  <si>
    <t xml:space="preserve">   Beach House Bungalows</t>
  </si>
  <si>
    <t xml:space="preserve">2027-28</t>
  </si>
  <si>
    <t xml:space="preserve">   RV Premium Expansion</t>
  </si>
  <si>
    <t xml:space="preserve">2028</t>
  </si>
  <si>
    <t xml:space="preserve">   Event Center</t>
  </si>
  <si>
    <t xml:space="preserve">TOTAL</t>
  </si>
  <si>
    <t xml:space="preserve">Funding</t>
  </si>
  <si>
    <t xml:space="preserve">   Senior Debt (8%)</t>
  </si>
  <si>
    <t xml:space="preserve">   Equity / Cash</t>
  </si>
  <si>
    <t xml:space="preserve">   New Annual Revenue by Yr3</t>
  </si>
  <si>
    <t xml:space="preserve">   Simple Revenue/Capex (Yr3)</t>
  </si>
  <si>
    <t xml:space="preserve">Bungalows phased 12 units 2027 + 12 units 2028. Capex/unit and funding split are planning assumptions.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</si>
</sst>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.0,\K"/>
    <numFmt numFmtId="168" formatCode="\$#,##0.0"/>
    <numFmt numFmtId="169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1"/>
      <color rgb="FF808080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i val="true"/>
      <sz val="11"/>
      <color rgb="FF008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8B8B"/>
        <bgColor rgb="FF008080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 style="double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8B8B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6" min="6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'P&amp;L (3-Year)'!B5</f>
        <v>9240</v>
      </c>
      <c r="C5" s="6" t="n">
        <f aca="false">'P&amp;L (3-Year)'!C5</f>
        <v>11394</v>
      </c>
      <c r="D5" s="6" t="n">
        <f aca="false">'P&amp;L (3-Year)'!D5</f>
        <v>15410</v>
      </c>
      <c r="E5" s="6" t="n">
        <f aca="false">'P&amp;L (3-Year)'!E5</f>
        <v>18888</v>
      </c>
    </row>
    <row r="6" customFormat="false" ht="15" hidden="false" customHeight="false" outlineLevel="0" collapsed="false">
      <c r="A6" s="7" t="s">
        <v>8</v>
      </c>
      <c r="B6" s="8" t="n">
        <f aca="false">'P&amp;L (3-Year)'!B13</f>
        <v>3423</v>
      </c>
      <c r="C6" s="8" t="n">
        <f aca="false">'P&amp;L (3-Year)'!C13</f>
        <v>4093</v>
      </c>
      <c r="D6" s="8" t="n">
        <f aca="false">'P&amp;L (3-Year)'!D13</f>
        <v>5756</v>
      </c>
      <c r="E6" s="8" t="n">
        <f aca="false">'P&amp;L (3-Year)'!E13</f>
        <v>7270</v>
      </c>
    </row>
    <row r="7" customFormat="false" ht="15" hidden="false" customHeight="false" outlineLevel="0" collapsed="false">
      <c r="A7" s="9" t="s">
        <v>9</v>
      </c>
      <c r="B7" s="10" t="n">
        <f aca="false">'P&amp;L (3-Year)'!B13/'P&amp;L (3-Year)'!B5</f>
        <v>0.370454545454546</v>
      </c>
      <c r="C7" s="10" t="n">
        <f aca="false">'P&amp;L (3-Year)'!C13/'P&amp;L (3-Year)'!C5</f>
        <v>0.359224153063016</v>
      </c>
      <c r="D7" s="10" t="n">
        <f aca="false">'P&amp;L (3-Year)'!D13/'P&amp;L (3-Year)'!D5</f>
        <v>0.373523685918235</v>
      </c>
      <c r="E7" s="10" t="n">
        <f aca="false">'P&amp;L (3-Year)'!E13/'P&amp;L (3-Year)'!E5</f>
        <v>0.384900465904278</v>
      </c>
    </row>
    <row r="8" customFormat="false" ht="15" hidden="false" customHeight="false" outlineLevel="0" collapsed="false">
      <c r="A8" s="5" t="s">
        <v>10</v>
      </c>
      <c r="B8" s="6" t="n">
        <f aca="false">'P&amp;L (3-Year)'!B17</f>
        <v>1623</v>
      </c>
      <c r="C8" s="6" t="n">
        <f aca="false">'P&amp;L (3-Year)'!C17</f>
        <v>2073</v>
      </c>
      <c r="D8" s="6" t="n">
        <f aca="false">'P&amp;L (3-Year)'!D17</f>
        <v>2806</v>
      </c>
      <c r="E8" s="6" t="n">
        <f aca="false">'P&amp;L (3-Year)'!E17</f>
        <v>3720</v>
      </c>
    </row>
    <row r="10" customFormat="false" ht="15" hidden="false" customHeight="false" outlineLevel="0" collapsed="false">
      <c r="A10" s="11" t="s">
        <v>11</v>
      </c>
      <c r="B10" s="11"/>
      <c r="C10" s="11"/>
      <c r="D10" s="11"/>
      <c r="E10" s="11"/>
      <c r="F10" s="11"/>
    </row>
    <row r="11" customFormat="false" ht="30" hidden="false" customHeight="true" outlineLevel="0" collapsed="false">
      <c r="A11" s="12" t="s">
        <v>12</v>
      </c>
      <c r="B11" s="12"/>
      <c r="C11" s="12"/>
      <c r="D11" s="12"/>
      <c r="E11" s="12"/>
      <c r="F11" s="12"/>
    </row>
    <row r="12" customFormat="false" ht="30" hidden="false" customHeight="true" outlineLevel="0" collapsed="false">
      <c r="A12" s="12" t="s">
        <v>13</v>
      </c>
      <c r="B12" s="12"/>
      <c r="C12" s="12"/>
      <c r="D12" s="12"/>
      <c r="E12" s="12"/>
      <c r="F12" s="12"/>
    </row>
    <row r="13" customFormat="false" ht="30" hidden="false" customHeight="true" outlineLevel="0" collapsed="false">
      <c r="A13" s="12" t="s">
        <v>14</v>
      </c>
      <c r="B13" s="12"/>
      <c r="C13" s="12"/>
      <c r="D13" s="12"/>
      <c r="E13" s="12"/>
      <c r="F13" s="12"/>
    </row>
    <row r="14" customFormat="false" ht="30" hidden="false" customHeight="true" outlineLevel="0" collapsed="false">
      <c r="A14" s="12" t="s">
        <v>15</v>
      </c>
      <c r="B14" s="12"/>
      <c r="C14" s="12"/>
      <c r="D14" s="12"/>
      <c r="E14" s="12"/>
      <c r="F14" s="12"/>
    </row>
    <row r="15" customFormat="false" ht="30" hidden="false" customHeight="true" outlineLevel="0" collapsed="false">
      <c r="A15" s="12" t="s">
        <v>16</v>
      </c>
      <c r="B15" s="12"/>
      <c r="C15" s="12"/>
      <c r="D15" s="12"/>
      <c r="E15" s="12"/>
      <c r="F15" s="12"/>
    </row>
  </sheetData>
  <mergeCells count="8">
    <mergeCell ref="A1:F1"/>
    <mergeCell ref="A2:F2"/>
    <mergeCell ref="A10:F10"/>
    <mergeCell ref="A11:F11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1" t="s">
        <v>17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19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20</v>
      </c>
    </row>
    <row r="5" customFormat="false" ht="15" hidden="false" customHeight="false" outlineLevel="0" collapsed="false">
      <c r="A5" s="11" t="s">
        <v>21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9" t="s">
        <v>22</v>
      </c>
      <c r="B6" s="13" t="n">
        <v>3600</v>
      </c>
      <c r="C6" s="13" t="n">
        <v>3816</v>
      </c>
      <c r="D6" s="13" t="n">
        <v>3969</v>
      </c>
      <c r="E6" s="13" t="n">
        <v>4088</v>
      </c>
      <c r="F6" s="14" t="n">
        <f aca="false">IF(B6=0,"",(E6/B6)^(1/3)-1)</f>
        <v>0.0432845968199798</v>
      </c>
    </row>
    <row r="7" customFormat="false" ht="15" hidden="false" customHeight="false" outlineLevel="0" collapsed="false">
      <c r="A7" s="9" t="s">
        <v>23</v>
      </c>
      <c r="B7" s="13" t="n">
        <v>0</v>
      </c>
      <c r="C7" s="13" t="n">
        <v>0</v>
      </c>
      <c r="D7" s="13" t="n">
        <v>480</v>
      </c>
      <c r="E7" s="13" t="n">
        <v>893</v>
      </c>
      <c r="F7" s="14" t="str">
        <f aca="false">IF(B7=0,"",(E7/B7)^(1/3)-1)</f>
        <v/>
      </c>
    </row>
    <row r="8" customFormat="false" ht="15" hidden="false" customHeight="false" outlineLevel="0" collapsed="false">
      <c r="A8" s="9" t="s">
        <v>24</v>
      </c>
      <c r="B8" s="13" t="n">
        <v>1250</v>
      </c>
      <c r="C8" s="13" t="n">
        <v>1313</v>
      </c>
      <c r="D8" s="13" t="n">
        <v>1366</v>
      </c>
      <c r="E8" s="13" t="n">
        <v>1407</v>
      </c>
      <c r="F8" s="14" t="n">
        <f aca="false">IF(B8=0,"",(E8/B8)^(1/3)-1)</f>
        <v>0.0402267750050545</v>
      </c>
    </row>
    <row r="9" customFormat="false" ht="15" hidden="false" customHeight="false" outlineLevel="0" collapsed="false">
      <c r="A9" s="9" t="s">
        <v>25</v>
      </c>
      <c r="B9" s="13" t="n">
        <v>0</v>
      </c>
      <c r="C9" s="13" t="n">
        <v>420</v>
      </c>
      <c r="D9" s="13" t="n">
        <v>1350</v>
      </c>
      <c r="E9" s="13" t="n">
        <v>2050</v>
      </c>
      <c r="F9" s="14" t="str">
        <f aca="false">IF(B9=0,"",(E9/B9)^(1/3)-1)</f>
        <v/>
      </c>
    </row>
    <row r="10" customFormat="false" ht="15" hidden="false" customHeight="false" outlineLevel="0" collapsed="false">
      <c r="A10" s="11" t="s">
        <v>26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9" t="s">
        <v>27</v>
      </c>
      <c r="B11" s="13" t="n">
        <v>520</v>
      </c>
      <c r="C11" s="13" t="n">
        <v>595</v>
      </c>
      <c r="D11" s="13" t="n">
        <v>655</v>
      </c>
      <c r="E11" s="13" t="n">
        <v>700</v>
      </c>
      <c r="F11" s="14" t="n">
        <f aca="false">IF(B11=0,"",(E11/B11)^(1/3)-1)</f>
        <v>0.104158869634249</v>
      </c>
    </row>
    <row r="12" customFormat="false" ht="15" hidden="false" customHeight="false" outlineLevel="0" collapsed="false">
      <c r="A12" s="9" t="s">
        <v>28</v>
      </c>
      <c r="B12" s="13" t="n">
        <v>360</v>
      </c>
      <c r="C12" s="13" t="n">
        <v>400</v>
      </c>
      <c r="D12" s="13" t="n">
        <v>460</v>
      </c>
      <c r="E12" s="13" t="n">
        <v>500</v>
      </c>
      <c r="F12" s="14" t="n">
        <f aca="false">IF(B12=0,"",(E12/B12)^(1/3)-1)</f>
        <v>0.115721583470283</v>
      </c>
    </row>
    <row r="13" customFormat="false" ht="15" hidden="false" customHeight="false" outlineLevel="0" collapsed="false">
      <c r="A13" s="9" t="s">
        <v>29</v>
      </c>
      <c r="B13" s="13" t="n">
        <v>300</v>
      </c>
      <c r="C13" s="13" t="n">
        <v>360</v>
      </c>
      <c r="D13" s="13" t="n">
        <v>420</v>
      </c>
      <c r="E13" s="13" t="n">
        <v>470</v>
      </c>
      <c r="F13" s="14" t="n">
        <f aca="false">IF(B13=0,"",(E13/B13)^(1/3)-1)</f>
        <v>0.161427757087285</v>
      </c>
    </row>
    <row r="14" customFormat="false" ht="15" hidden="false" customHeight="false" outlineLevel="0" collapsed="false">
      <c r="A14" s="11" t="s">
        <v>30</v>
      </c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9" t="s">
        <v>31</v>
      </c>
      <c r="B15" s="13" t="n">
        <v>1150</v>
      </c>
      <c r="C15" s="13" t="n">
        <v>1300</v>
      </c>
      <c r="D15" s="13" t="n">
        <v>1650</v>
      </c>
      <c r="E15" s="13" t="n">
        <v>1950</v>
      </c>
      <c r="F15" s="14" t="n">
        <f aca="false">IF(B15=0,"",(E15/B15)^(1/3)-1)</f>
        <v>0.192464861064342</v>
      </c>
    </row>
    <row r="16" customFormat="false" ht="15" hidden="false" customHeight="false" outlineLevel="0" collapsed="false">
      <c r="A16" s="9" t="s">
        <v>32</v>
      </c>
      <c r="B16" s="13" t="n">
        <v>1500</v>
      </c>
      <c r="C16" s="13" t="n">
        <v>1750</v>
      </c>
      <c r="D16" s="13" t="n">
        <v>2150</v>
      </c>
      <c r="E16" s="13" t="n">
        <v>2550</v>
      </c>
      <c r="F16" s="14" t="n">
        <f aca="false">IF(B16=0,"",(E16/B16)^(1/3)-1)</f>
        <v>0.193483191927337</v>
      </c>
    </row>
    <row r="17" customFormat="false" ht="15" hidden="false" customHeight="false" outlineLevel="0" collapsed="false">
      <c r="A17" s="11" t="s">
        <v>33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9" t="s">
        <v>34</v>
      </c>
      <c r="B18" s="13" t="n">
        <v>560</v>
      </c>
      <c r="C18" s="13" t="n">
        <v>1440</v>
      </c>
      <c r="D18" s="13" t="n">
        <v>2160</v>
      </c>
      <c r="E18" s="13" t="n">
        <v>2880</v>
      </c>
      <c r="F18" s="14" t="n">
        <f aca="false">IF(B18=0,"",(E18/B18)^(1/3)-1)</f>
        <v>0.726108747994364</v>
      </c>
    </row>
    <row r="19" customFormat="false" ht="15" hidden="false" customHeight="false" outlineLevel="0" collapsed="false">
      <c r="A19" s="9" t="s">
        <v>35</v>
      </c>
      <c r="B19" s="13" t="n">
        <v>0</v>
      </c>
      <c r="C19" s="13" t="n">
        <v>0</v>
      </c>
      <c r="D19" s="13" t="n">
        <v>750</v>
      </c>
      <c r="E19" s="13" t="n">
        <v>1400</v>
      </c>
      <c r="F19" s="14" t="str">
        <f aca="false">IF(B19=0,"",(E19/B19)^(1/3)-1)</f>
        <v/>
      </c>
    </row>
    <row r="20" customFormat="false" ht="15" hidden="false" customHeight="false" outlineLevel="0" collapsed="false">
      <c r="A20" s="7" t="s">
        <v>36</v>
      </c>
      <c r="B20" s="15" t="n">
        <f aca="false">B6+B7+B8+B9+B11+B12+B13+B15+B16+B18+B19</f>
        <v>9240</v>
      </c>
      <c r="C20" s="15" t="n">
        <f aca="false">C6+C7+C8+C9+C11+C12+C13+C15+C16+C18+C19</f>
        <v>11394</v>
      </c>
      <c r="D20" s="15" t="n">
        <f aca="false">D6+D7+D8+D9+D11+D12+D13+D15+D16+D18+D19</f>
        <v>15410</v>
      </c>
      <c r="E20" s="15" t="n">
        <f aca="false">E6+E7+E8+E9+E11+E12+E13+E15+E16+E18+E19</f>
        <v>18888</v>
      </c>
      <c r="F20" s="16" t="n">
        <f aca="false">(E20/B20)^(1/3)-1</f>
        <v>0.269125784409122</v>
      </c>
    </row>
    <row r="21" customFormat="false" ht="15" hidden="false" customHeight="false" outlineLevel="0" collapsed="false">
      <c r="A21" s="17" t="s">
        <v>37</v>
      </c>
      <c r="C21" s="18" t="n">
        <f aca="false">C20/B20-1</f>
        <v>0.233116883116883</v>
      </c>
      <c r="D21" s="18" t="n">
        <f aca="false">D20/C20-1</f>
        <v>0.352466210286116</v>
      </c>
      <c r="E21" s="18" t="n">
        <f aca="false">E20/D20-1</f>
        <v>0.225697598961713</v>
      </c>
    </row>
    <row r="23" customFormat="false" ht="15" hidden="false" customHeight="false" outlineLevel="0" collapsed="false">
      <c r="A23" s="19" t="s">
        <v>38</v>
      </c>
    </row>
  </sheetData>
  <mergeCells count="6">
    <mergeCell ref="A1:F1"/>
    <mergeCell ref="A2:F2"/>
    <mergeCell ref="A5:F5"/>
    <mergeCell ref="A10:F10"/>
    <mergeCell ref="A14:F14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</cols>
  <sheetData>
    <row r="1" customFormat="false" ht="25.5" hidden="false" customHeight="true" outlineLevel="0" collapsed="false">
      <c r="A1" s="1" t="s">
        <v>39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</row>
    <row r="4" customFormat="false" ht="15" hidden="false" customHeight="false" outlineLevel="0" collapsed="false">
      <c r="A4" s="3"/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41</v>
      </c>
      <c r="B5" s="6" t="n">
        <f aca="false">'Revenue Model'!B20</f>
        <v>9240</v>
      </c>
      <c r="C5" s="6" t="n">
        <f aca="false">'Revenue Model'!C20</f>
        <v>11394</v>
      </c>
      <c r="D5" s="6" t="n">
        <f aca="false">'Revenue Model'!D20</f>
        <v>15410</v>
      </c>
      <c r="E5" s="6" t="n">
        <f aca="false">'Revenue Model'!E20</f>
        <v>18888</v>
      </c>
    </row>
    <row r="6" customFormat="false" ht="15" hidden="false" customHeight="false" outlineLevel="0" collapsed="false">
      <c r="A6" s="20" t="s">
        <v>42</v>
      </c>
      <c r="B6" s="21" t="n">
        <f aca="false">'Revenue Model'!B15+'Revenue Model'!B16</f>
        <v>2650</v>
      </c>
      <c r="C6" s="21" t="n">
        <f aca="false">'Revenue Model'!C15+'Revenue Model'!C16</f>
        <v>3050</v>
      </c>
      <c r="D6" s="21" t="n">
        <f aca="false">'Revenue Model'!D15+'Revenue Model'!D16</f>
        <v>3800</v>
      </c>
      <c r="E6" s="21" t="n">
        <f aca="false">'Revenue Model'!E15+'Revenue Model'!E16</f>
        <v>4500</v>
      </c>
    </row>
    <row r="7" customFormat="false" ht="15" hidden="false" customHeight="false" outlineLevel="0" collapsed="false">
      <c r="A7" s="9" t="s">
        <v>43</v>
      </c>
      <c r="B7" s="13" t="n">
        <v>742</v>
      </c>
      <c r="C7" s="13" t="n">
        <v>854</v>
      </c>
      <c r="D7" s="13" t="n">
        <v>1064</v>
      </c>
      <c r="E7" s="13" t="n">
        <v>1260</v>
      </c>
    </row>
    <row r="8" customFormat="false" ht="15" hidden="false" customHeight="false" outlineLevel="0" collapsed="false">
      <c r="A8" s="9" t="s">
        <v>44</v>
      </c>
      <c r="B8" s="13" t="n">
        <v>270</v>
      </c>
      <c r="C8" s="13" t="n">
        <v>693</v>
      </c>
      <c r="D8" s="13" t="n">
        <v>1039</v>
      </c>
      <c r="E8" s="13" t="n">
        <v>1386</v>
      </c>
    </row>
    <row r="9" customFormat="false" ht="15" hidden="false" customHeight="false" outlineLevel="0" collapsed="false">
      <c r="A9" s="7" t="s">
        <v>45</v>
      </c>
      <c r="B9" s="15" t="n">
        <f aca="false">B5-B7-B8</f>
        <v>8228</v>
      </c>
      <c r="C9" s="15" t="n">
        <f aca="false">C5-C7-C8</f>
        <v>9847</v>
      </c>
      <c r="D9" s="15" t="n">
        <f aca="false">D5-D7-D8</f>
        <v>13307</v>
      </c>
      <c r="E9" s="15" t="n">
        <f aca="false">E5-E7-E8</f>
        <v>16242</v>
      </c>
    </row>
    <row r="10" customFormat="false" ht="15" hidden="false" customHeight="false" outlineLevel="0" collapsed="false">
      <c r="A10" s="20" t="s">
        <v>46</v>
      </c>
      <c r="B10" s="18" t="n">
        <f aca="false">B9/B5</f>
        <v>0.89047619047619</v>
      </c>
      <c r="C10" s="18" t="n">
        <f aca="false">C9/C5</f>
        <v>0.864226786027734</v>
      </c>
      <c r="D10" s="18" t="n">
        <f aca="false">D9/D5</f>
        <v>0.863530175210902</v>
      </c>
      <c r="E10" s="18" t="n">
        <f aca="false">E9/E5</f>
        <v>0.859911054637865</v>
      </c>
    </row>
    <row r="11" customFormat="false" ht="15" hidden="false" customHeight="false" outlineLevel="0" collapsed="false">
      <c r="A11" s="9" t="s">
        <v>47</v>
      </c>
      <c r="B11" s="13" t="n">
        <v>2772</v>
      </c>
      <c r="C11" s="13" t="n">
        <v>3304</v>
      </c>
      <c r="D11" s="13" t="n">
        <v>4315</v>
      </c>
      <c r="E11" s="13" t="n">
        <v>5100</v>
      </c>
    </row>
    <row r="12" customFormat="false" ht="15" hidden="false" customHeight="false" outlineLevel="0" collapsed="false">
      <c r="A12" s="9" t="s">
        <v>48</v>
      </c>
      <c r="B12" s="13" t="n">
        <v>2033</v>
      </c>
      <c r="C12" s="13" t="n">
        <v>2450</v>
      </c>
      <c r="D12" s="13" t="n">
        <v>3236</v>
      </c>
      <c r="E12" s="13" t="n">
        <v>3872</v>
      </c>
    </row>
    <row r="13" customFormat="false" ht="15" hidden="false" customHeight="false" outlineLevel="0" collapsed="false">
      <c r="A13" s="7" t="s">
        <v>49</v>
      </c>
      <c r="B13" s="15" t="n">
        <f aca="false">B9-B11-B12</f>
        <v>3423</v>
      </c>
      <c r="C13" s="15" t="n">
        <f aca="false">C9-C11-C12</f>
        <v>4093</v>
      </c>
      <c r="D13" s="15" t="n">
        <f aca="false">D9-D11-D12</f>
        <v>5756</v>
      </c>
      <c r="E13" s="15" t="n">
        <f aca="false">E9-E11-E12</f>
        <v>7270</v>
      </c>
    </row>
    <row r="14" customFormat="false" ht="15" hidden="false" customHeight="false" outlineLevel="0" collapsed="false">
      <c r="A14" s="20" t="s">
        <v>50</v>
      </c>
      <c r="B14" s="18" t="n">
        <f aca="false">B13/B5</f>
        <v>0.370454545454546</v>
      </c>
      <c r="C14" s="18" t="n">
        <f aca="false">C13/C5</f>
        <v>0.359224153063016</v>
      </c>
      <c r="D14" s="18" t="n">
        <f aca="false">D13/D5</f>
        <v>0.373523685918235</v>
      </c>
      <c r="E14" s="18" t="n">
        <f aca="false">E13/E5</f>
        <v>0.384900465904278</v>
      </c>
    </row>
    <row r="15" customFormat="false" ht="15" hidden="false" customHeight="false" outlineLevel="0" collapsed="false">
      <c r="A15" s="9" t="s">
        <v>51</v>
      </c>
      <c r="B15" s="13" t="n">
        <v>1100</v>
      </c>
      <c r="C15" s="13" t="n">
        <v>1300</v>
      </c>
      <c r="D15" s="13" t="n">
        <v>1900</v>
      </c>
      <c r="E15" s="13" t="n">
        <v>2400</v>
      </c>
    </row>
    <row r="16" customFormat="false" ht="15" hidden="false" customHeight="false" outlineLevel="0" collapsed="false">
      <c r="A16" s="9" t="s">
        <v>52</v>
      </c>
      <c r="B16" s="13" t="n">
        <v>700</v>
      </c>
      <c r="C16" s="13" t="n">
        <v>720</v>
      </c>
      <c r="D16" s="13" t="n">
        <v>1050</v>
      </c>
      <c r="E16" s="13" t="n">
        <v>1150</v>
      </c>
    </row>
    <row r="17" customFormat="false" ht="15" hidden="false" customHeight="false" outlineLevel="0" collapsed="false">
      <c r="A17" s="5" t="s">
        <v>53</v>
      </c>
      <c r="B17" s="22" t="n">
        <f aca="false">B13-B15-B16</f>
        <v>1623</v>
      </c>
      <c r="C17" s="22" t="n">
        <f aca="false">C13-C15-C16</f>
        <v>2073</v>
      </c>
      <c r="D17" s="22" t="n">
        <f aca="false">D13-D15-D16</f>
        <v>2806</v>
      </c>
      <c r="E17" s="22" t="n">
        <f aca="false">E13-E15-E16</f>
        <v>3720</v>
      </c>
    </row>
    <row r="18" customFormat="false" ht="15" hidden="false" customHeight="false" outlineLevel="0" collapsed="false">
      <c r="A18" s="20" t="s">
        <v>54</v>
      </c>
      <c r="B18" s="18" t="n">
        <f aca="false">B17/B5</f>
        <v>0.175649350649351</v>
      </c>
      <c r="C18" s="18" t="n">
        <f aca="false">C17/C5</f>
        <v>0.181937862032649</v>
      </c>
      <c r="D18" s="18" t="n">
        <f aca="false">D17/D5</f>
        <v>0.182089552238806</v>
      </c>
      <c r="E18" s="18" t="n">
        <f aca="false">E17/E5</f>
        <v>0.196950444726811</v>
      </c>
    </row>
    <row r="20" customFormat="false" ht="15" hidden="false" customHeight="false" outlineLevel="0" collapsed="false">
      <c r="A20" s="19" t="s">
        <v>55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3"/>
  </cols>
  <sheetData>
    <row r="1" customFormat="false" ht="25.5" hidden="false" customHeight="true" outlineLevel="0" collapsed="false">
      <c r="A1" s="1" t="s">
        <v>56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</row>
    <row r="4" customFormat="false" ht="15" hidden="false" customHeight="false" outlineLevel="0" collapsed="false">
      <c r="A4" s="23" t="s">
        <v>58</v>
      </c>
      <c r="B4" s="4" t="s">
        <v>59</v>
      </c>
      <c r="C4" s="4" t="s">
        <v>60</v>
      </c>
      <c r="D4" s="4" t="s">
        <v>61</v>
      </c>
      <c r="E4" s="4" t="s">
        <v>62</v>
      </c>
    </row>
    <row r="5" customFormat="false" ht="15" hidden="false" customHeight="false" outlineLevel="0" collapsed="false">
      <c r="A5" s="9" t="s">
        <v>63</v>
      </c>
      <c r="B5" s="24" t="n">
        <v>13.75</v>
      </c>
      <c r="C5" s="25" t="n">
        <f aca="false">180-B5-50</f>
        <v>116.25</v>
      </c>
      <c r="D5" s="25" t="n">
        <v>61.6</v>
      </c>
      <c r="E5" s="26" t="n">
        <f aca="false">C5+D5</f>
        <v>177.85</v>
      </c>
    </row>
    <row r="6" customFormat="false" ht="15" hidden="false" customHeight="false" outlineLevel="0" collapsed="false">
      <c r="A6" s="9" t="s">
        <v>64</v>
      </c>
      <c r="B6" s="24" t="n">
        <v>20</v>
      </c>
      <c r="C6" s="25" t="n">
        <f aca="false">180-B6-50</f>
        <v>110</v>
      </c>
      <c r="D6" s="25" t="n">
        <v>61.6</v>
      </c>
      <c r="E6" s="26" t="n">
        <f aca="false">C6+D6</f>
        <v>171.6</v>
      </c>
    </row>
    <row r="7" customFormat="false" ht="15" hidden="false" customHeight="false" outlineLevel="0" collapsed="false">
      <c r="A7" s="9" t="s">
        <v>65</v>
      </c>
      <c r="B7" s="24" t="n">
        <v>22.5</v>
      </c>
      <c r="C7" s="25" t="n">
        <f aca="false">180-B7-50</f>
        <v>107.5</v>
      </c>
      <c r="D7" s="25" t="n">
        <v>61.6</v>
      </c>
      <c r="E7" s="26" t="n">
        <f aca="false">C7+D7</f>
        <v>169.1</v>
      </c>
    </row>
    <row r="8" customFormat="false" ht="15" hidden="false" customHeight="false" outlineLevel="0" collapsed="false">
      <c r="A8" s="9" t="s">
        <v>66</v>
      </c>
      <c r="B8" s="24" t="n">
        <v>22.5</v>
      </c>
      <c r="C8" s="25" t="n">
        <f aca="false">180-B8-50</f>
        <v>107.5</v>
      </c>
      <c r="D8" s="25" t="n">
        <v>61.6</v>
      </c>
      <c r="E8" s="26" t="n">
        <f aca="false">C8+D8</f>
        <v>169.1</v>
      </c>
    </row>
    <row r="9" customFormat="false" ht="15" hidden="false" customHeight="false" outlineLevel="0" collapsed="false">
      <c r="A9" s="9" t="s">
        <v>67</v>
      </c>
      <c r="B9" s="24" t="n">
        <v>30</v>
      </c>
      <c r="C9" s="25" t="n">
        <f aca="false">180-B9-50</f>
        <v>100</v>
      </c>
      <c r="D9" s="25" t="n">
        <v>61.6</v>
      </c>
      <c r="E9" s="26" t="n">
        <f aca="false">C9+D9</f>
        <v>161.6</v>
      </c>
    </row>
    <row r="10" customFormat="false" ht="15" hidden="false" customHeight="false" outlineLevel="0" collapsed="false">
      <c r="A10" s="9" t="s">
        <v>68</v>
      </c>
      <c r="B10" s="24" t="n">
        <v>40</v>
      </c>
      <c r="C10" s="25" t="n">
        <f aca="false">180-B10-50</f>
        <v>90</v>
      </c>
      <c r="D10" s="25" t="n">
        <v>61.6</v>
      </c>
      <c r="E10" s="26" t="n">
        <f aca="false">C10+D10</f>
        <v>151.6</v>
      </c>
    </row>
    <row r="11" customFormat="false" ht="15" hidden="false" customHeight="false" outlineLevel="0" collapsed="false">
      <c r="A11" s="9" t="s">
        <v>69</v>
      </c>
      <c r="B11" s="24" t="n">
        <v>40</v>
      </c>
      <c r="C11" s="25" t="n">
        <f aca="false">180-B11-50</f>
        <v>90</v>
      </c>
      <c r="D11" s="25" t="n">
        <v>61.6</v>
      </c>
      <c r="E11" s="26" t="n">
        <f aca="false">C11+D11</f>
        <v>151.6</v>
      </c>
    </row>
    <row r="12" customFormat="false" ht="15" hidden="false" customHeight="false" outlineLevel="0" collapsed="false">
      <c r="A12" s="9" t="s">
        <v>70</v>
      </c>
      <c r="B12" s="24" t="n">
        <v>42.5</v>
      </c>
      <c r="C12" s="25" t="n">
        <f aca="false">180-B12-50</f>
        <v>87.5</v>
      </c>
      <c r="D12" s="25" t="n">
        <v>61.6</v>
      </c>
      <c r="E12" s="26" t="n">
        <f aca="false">C12+D12</f>
        <v>149.1</v>
      </c>
    </row>
    <row r="13" customFormat="false" ht="15" hidden="false" customHeight="false" outlineLevel="0" collapsed="false">
      <c r="A13" s="9" t="s">
        <v>71</v>
      </c>
      <c r="B13" s="24" t="n">
        <v>57.5</v>
      </c>
      <c r="C13" s="25" t="n">
        <f aca="false">180-B13-50</f>
        <v>72.5</v>
      </c>
      <c r="D13" s="25" t="n">
        <v>61.6</v>
      </c>
      <c r="E13" s="26" t="n">
        <f aca="false">C13+D13</f>
        <v>134.1</v>
      </c>
    </row>
    <row r="14" customFormat="false" ht="15" hidden="false" customHeight="false" outlineLevel="0" collapsed="false">
      <c r="A14" s="9" t="s">
        <v>72</v>
      </c>
      <c r="B14" s="24" t="n">
        <v>57.5</v>
      </c>
      <c r="C14" s="25" t="n">
        <f aca="false">180-B14-50</f>
        <v>72.5</v>
      </c>
      <c r="D14" s="25" t="n">
        <v>61.6</v>
      </c>
      <c r="E14" s="26" t="n">
        <f aca="false">C14+D14</f>
        <v>134.1</v>
      </c>
    </row>
    <row r="15" customFormat="false" ht="15" hidden="false" customHeight="false" outlineLevel="0" collapsed="false">
      <c r="A15" s="19" t="s">
        <v>73</v>
      </c>
    </row>
    <row r="17" customFormat="false" ht="15" hidden="false" customHeight="false" outlineLevel="0" collapsed="false">
      <c r="A17" s="23" t="s">
        <v>74</v>
      </c>
      <c r="B17" s="4" t="s">
        <v>4</v>
      </c>
      <c r="C17" s="4" t="s">
        <v>5</v>
      </c>
      <c r="D17" s="4" t="s">
        <v>6</v>
      </c>
      <c r="E17" s="4" t="s">
        <v>75</v>
      </c>
    </row>
    <row r="18" customFormat="false" ht="15" hidden="false" customHeight="false" outlineLevel="0" collapsed="false">
      <c r="A18" s="9" t="s">
        <v>76</v>
      </c>
      <c r="B18" s="13" t="n">
        <v>8</v>
      </c>
      <c r="C18" s="13" t="n">
        <v>12</v>
      </c>
      <c r="D18" s="13" t="n">
        <v>16</v>
      </c>
      <c r="E18" s="27" t="n">
        <f aca="false">SUM(B18:D18)</f>
        <v>36</v>
      </c>
    </row>
    <row r="19" customFormat="false" ht="15" hidden="false" customHeight="false" outlineLevel="0" collapsed="false">
      <c r="A19" s="9" t="s">
        <v>77</v>
      </c>
      <c r="B19" s="28" t="n">
        <f aca="false">B18*180</f>
        <v>1440</v>
      </c>
      <c r="C19" s="28" t="n">
        <f aca="false">C18*180</f>
        <v>2160</v>
      </c>
      <c r="D19" s="28" t="n">
        <f aca="false">D18*180</f>
        <v>2880</v>
      </c>
      <c r="E19" s="27" t="n">
        <f aca="false">SUM(B19:D19)</f>
        <v>6480</v>
      </c>
    </row>
    <row r="20" customFormat="false" ht="15" hidden="false" customHeight="false" outlineLevel="0" collapsed="false">
      <c r="A20" s="9" t="s">
        <v>78</v>
      </c>
      <c r="B20" s="28" t="n">
        <f aca="false">B18*88</f>
        <v>704</v>
      </c>
      <c r="C20" s="28" t="n">
        <f aca="false">C18*88</f>
        <v>1056</v>
      </c>
      <c r="D20" s="28" t="n">
        <f aca="false">D18*88</f>
        <v>1408</v>
      </c>
      <c r="E20" s="27" t="n">
        <f aca="false">SUM(B20:D20)</f>
        <v>3168</v>
      </c>
    </row>
    <row r="21" customFormat="false" ht="15" hidden="false" customHeight="false" outlineLevel="0" collapsed="false">
      <c r="A21" s="7" t="s">
        <v>79</v>
      </c>
      <c r="B21" s="29" t="n">
        <f aca="false">B18*155</f>
        <v>1240</v>
      </c>
      <c r="C21" s="29" t="n">
        <f aca="false">C18*155</f>
        <v>1860</v>
      </c>
      <c r="D21" s="29" t="n">
        <f aca="false">D18*155</f>
        <v>2480</v>
      </c>
      <c r="E21" s="29" t="n">
        <f aca="false">SUM(B21:D21)</f>
        <v>5580</v>
      </c>
    </row>
    <row r="23" customFormat="false" ht="15" hidden="false" customHeight="false" outlineLevel="0" collapsed="false">
      <c r="A23" s="19" t="s">
        <v>80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25.5" hidden="false" customHeight="true" outlineLevel="0" collapsed="false">
      <c r="A1" s="1" t="s">
        <v>81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</row>
    <row r="5" customFormat="false" ht="15" hidden="false" customHeight="false" outlineLevel="0" collapsed="false">
      <c r="A5" s="9" t="s">
        <v>89</v>
      </c>
      <c r="B5" s="13" t="n">
        <v>24</v>
      </c>
      <c r="C5" s="13" t="n">
        <v>185</v>
      </c>
      <c r="D5" s="28" t="n">
        <f aca="false">B5*C5</f>
        <v>4440</v>
      </c>
      <c r="E5" s="30" t="s">
        <v>90</v>
      </c>
      <c r="F5" s="13" t="n">
        <v>2050</v>
      </c>
    </row>
    <row r="6" customFormat="false" ht="15" hidden="false" customHeight="false" outlineLevel="0" collapsed="false">
      <c r="A6" s="9" t="s">
        <v>91</v>
      </c>
      <c r="B6" s="13" t="n">
        <v>50</v>
      </c>
      <c r="C6" s="13" t="n">
        <v>38</v>
      </c>
      <c r="D6" s="28" t="n">
        <f aca="false">B6*C6</f>
        <v>1900</v>
      </c>
      <c r="E6" s="30" t="s">
        <v>92</v>
      </c>
      <c r="F6" s="13" t="n">
        <v>893</v>
      </c>
    </row>
    <row r="7" customFormat="false" ht="15" hidden="false" customHeight="false" outlineLevel="0" collapsed="false">
      <c r="A7" s="9" t="s">
        <v>93</v>
      </c>
      <c r="B7" s="13" t="n">
        <v>1</v>
      </c>
      <c r="C7" s="13" t="n">
        <v>3600</v>
      </c>
      <c r="D7" s="28" t="n">
        <f aca="false">B7*C7</f>
        <v>3600</v>
      </c>
      <c r="E7" s="30" t="s">
        <v>92</v>
      </c>
      <c r="F7" s="13" t="n">
        <v>1400</v>
      </c>
    </row>
    <row r="8" customFormat="false" ht="15" hidden="false" customHeight="false" outlineLevel="0" collapsed="false">
      <c r="A8" s="7" t="s">
        <v>94</v>
      </c>
      <c r="D8" s="29" t="n">
        <f aca="false">SUM(D5:D7)</f>
        <v>9940</v>
      </c>
      <c r="F8" s="29" t="n">
        <f aca="false">SUM(F5:F7)</f>
        <v>4343</v>
      </c>
    </row>
    <row r="10" customFormat="false" ht="15" hidden="false" customHeight="false" outlineLevel="0" collapsed="false">
      <c r="A10" s="11" t="s">
        <v>95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9" t="s">
        <v>96</v>
      </c>
      <c r="B11" s="13" t="n">
        <v>7000</v>
      </c>
    </row>
    <row r="12" customFormat="false" ht="15" hidden="false" customHeight="false" outlineLevel="0" collapsed="false">
      <c r="A12" s="9" t="s">
        <v>97</v>
      </c>
      <c r="B12" s="28" t="n">
        <f aca="false">D8-B11</f>
        <v>2940</v>
      </c>
    </row>
    <row r="13" customFormat="false" ht="15" hidden="false" customHeight="false" outlineLevel="0" collapsed="false">
      <c r="A13" s="9" t="s">
        <v>98</v>
      </c>
      <c r="B13" s="28" t="n">
        <f aca="false">F8</f>
        <v>4343</v>
      </c>
    </row>
    <row r="14" customFormat="false" ht="15" hidden="false" customHeight="false" outlineLevel="0" collapsed="false">
      <c r="A14" s="9" t="s">
        <v>99</v>
      </c>
      <c r="B14" s="31" t="n">
        <f aca="false">F8/D8</f>
        <v>0.43692152917505</v>
      </c>
    </row>
    <row r="16" customFormat="false" ht="15" hidden="false" customHeight="false" outlineLevel="0" collapsed="false">
      <c r="A16" s="19" t="s">
        <v>100</v>
      </c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2026-06-27T13:20:26Z</dcterms:created>
  <dc:creator>openpyxl</dc:creator>
  <dc:description/>
  <dc:language>en-US</dc:language>
  <cp:lastModifiedBy/>
  <dcterms:modified xsi:type="dcterms:W3CDTF">2026-06-27T13:20:26Z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